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5CD4316K5T\Downloads\"/>
    </mc:Choice>
  </mc:AlternateContent>
  <xr:revisionPtr revIDLastSave="0" documentId="13_ncr:1_{50ABE95C-4645-4E4A-91E5-D6047C97C532}" xr6:coauthVersionLast="47" xr6:coauthVersionMax="47" xr10:uidLastSave="{00000000-0000-0000-0000-000000000000}"/>
  <bookViews>
    <workbookView xWindow="-108" yWindow="-108" windowWidth="23256" windowHeight="12456" xr2:uid="{819D044E-1B80-461D-BDFA-A4C27A2576DD}"/>
  </bookViews>
  <sheets>
    <sheet name="rpt_ca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4" i="1"/>
  <c r="N3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4" i="1"/>
  <c r="J5" i="1"/>
  <c r="J6" i="1"/>
  <c r="J7" i="1"/>
  <c r="J8" i="1"/>
  <c r="J9" i="1"/>
  <c r="J10" i="1"/>
  <c r="J11" i="1"/>
  <c r="J12" i="1"/>
</calcChain>
</file>

<file path=xl/sharedStrings.xml><?xml version="1.0" encoding="utf-8"?>
<sst xmlns="http://schemas.openxmlformats.org/spreadsheetml/2006/main" count="7165" uniqueCount="935">
  <si>
    <t>no</t>
  </si>
  <si>
    <t>report name</t>
  </si>
  <si>
    <t>name</t>
  </si>
  <si>
    <t>group</t>
  </si>
  <si>
    <t>subgroup</t>
  </si>
  <si>
    <t>order</t>
  </si>
  <si>
    <t>numbering</t>
  </si>
  <si>
    <t>mapping</t>
  </si>
  <si>
    <t>number</t>
  </si>
  <si>
    <t>subgroup2</t>
  </si>
  <si>
    <t>Aset Lancar</t>
  </si>
  <si>
    <t>A</t>
  </si>
  <si>
    <t>)</t>
  </si>
  <si>
    <t>Aset</t>
  </si>
  <si>
    <t>Aset Tidak Lancar</t>
  </si>
  <si>
    <t>Liabilitas</t>
  </si>
  <si>
    <t>Liabilitas jangka pendek</t>
  </si>
  <si>
    <t>Liabilitas jangka panjang</t>
  </si>
  <si>
    <t>Ekuitas</t>
  </si>
  <si>
    <t>3105000000 -  Saldo laba dicadangkan</t>
  </si>
  <si>
    <t>3106000000 -  Saldo laba belum dicadangkan</t>
  </si>
  <si>
    <t>3107000000 -  Komponen ekuitas lainnya: Penghasilan/Rugi Komprehensif</t>
  </si>
  <si>
    <t>3108000000 -  Kepentingan non-pengendali</t>
  </si>
  <si>
    <t>4000000000 - Pendapatan Usaha</t>
  </si>
  <si>
    <t>Pendapatan Usaha</t>
  </si>
  <si>
    <t>4100000000 - Pemilik dan Operator</t>
  </si>
  <si>
    <t>Pemilik dan Operator</t>
  </si>
  <si>
    <t>4141000000 -  Operator Atraksi - Fasilitas</t>
  </si>
  <si>
    <t>4144000000 -  Operator Atraksi - Event Organiser</t>
  </si>
  <si>
    <t>4161000000 -  Pengembang Kawasan Wisata - Operasional Property</t>
  </si>
  <si>
    <t>4163000000 -  Pengembang Kawasan Wisata - Bahan Bakar</t>
  </si>
  <si>
    <t>4164000000 -  Pengembang Kawasan Wisata - Optimalisasi Lahan</t>
  </si>
  <si>
    <t>4200000000 - Pemilik</t>
  </si>
  <si>
    <t>Pemilik</t>
  </si>
  <si>
    <t>4230000000 -  Perhotelan &amp; Manajemen Perjalanan - Kamar</t>
  </si>
  <si>
    <t>4266000000 -  Pengembang Kawasan Wisata - Revenue Sharing</t>
  </si>
  <si>
    <t>4300000000 - Operator</t>
  </si>
  <si>
    <t>Operator</t>
  </si>
  <si>
    <t>4344000000 -  Operator Atraksi - Event Organiser</t>
  </si>
  <si>
    <t>4369000000 -  Pengembang Kawasan Wisata - Lainnya</t>
  </si>
  <si>
    <t>Beban Pokok Pendapatan</t>
  </si>
  <si>
    <t>5100000000 - Pemilik dan Operator</t>
  </si>
  <si>
    <t>5141000000 -  Operator Atraksi - Fasilitas</t>
  </si>
  <si>
    <t>5164000000 -  Pengembang Kawasan Wisata - Optimalisasi Lahan</t>
  </si>
  <si>
    <t>5165000000 -  Pengembang Kawasan Wisata - Real Estate Sale</t>
  </si>
  <si>
    <t>5200000000 - Pemilik</t>
  </si>
  <si>
    <t>5230000000 -  Perhotelan &amp; Manajemen Perjalanan - Kamar</t>
  </si>
  <si>
    <t>5231000000 -  Perhotelan &amp; Manajemen Perjalanan - Pendapatan Non-Kamar - Food &amp; Beverages</t>
  </si>
  <si>
    <t>5232000000 -  Perhotelan &amp; Manajemen Perjalanan - Pendapatan Non-Kamar - Fasilitas Hotel Lainnya</t>
  </si>
  <si>
    <t>5235000000 -  Perhotelan &amp; Manajemen Perjalanan - Management Fee</t>
  </si>
  <si>
    <t>5269000000 -  Pengembang Kawasan Wisata - Lainnya</t>
  </si>
  <si>
    <t>6000000000 - Beban Usaha</t>
  </si>
  <si>
    <t>6100000000 - Beban umum dan administrasi</t>
  </si>
  <si>
    <t>6101000000 -  Beban Pegawai</t>
  </si>
  <si>
    <t>6102000000 -  Pemeliharaan dan perbaikan</t>
  </si>
  <si>
    <t>6103000000 -  Beban Utilitas</t>
  </si>
  <si>
    <t>6104000000 -  Sewa</t>
  </si>
  <si>
    <t>6105000000 -  Depresiasi dan amortisasi</t>
  </si>
  <si>
    <t>6106000000 -  Beban pejabat non-pegawai</t>
  </si>
  <si>
    <t>6107000000 -  Beban imbalan pasca kerja</t>
  </si>
  <si>
    <t>6108000000 -  Persediaan - Umum dan Administrasi</t>
  </si>
  <si>
    <t>6110000000 -  Pajak dan retribusi pemerintah lainnya</t>
  </si>
  <si>
    <t>6111000000 -  Beban Asuransi</t>
  </si>
  <si>
    <t>6112000000 -  Pendidikan dan Pelatihan</t>
  </si>
  <si>
    <t>6113000000 -  Beban perjalanan dinas</t>
  </si>
  <si>
    <t>6115000000 -  Beban Jasa Profesional &amp; Konsultan</t>
  </si>
  <si>
    <t>6116000000 -  Beban keperluan internal</t>
  </si>
  <si>
    <t>6119000000 -  Beban keperluan eksternal</t>
  </si>
  <si>
    <t>6120000000 -  Kerugian (pemulihan) penurunan nilai aset</t>
  </si>
  <si>
    <t>6199000000 -  Beban umum lainnya</t>
  </si>
  <si>
    <t>6200000000 - Beban penjualan dan pemasaran</t>
  </si>
  <si>
    <t>6201000000 -  Beban promosi atau pemasaran</t>
  </si>
  <si>
    <t>6300000000 - Beban usaha lainnya</t>
  </si>
  <si>
    <t>6301000000 -  Kerugian penurunan nilai</t>
  </si>
  <si>
    <t>6303000000 -  Rugi selisih kurs</t>
  </si>
  <si>
    <t>6399000000 -  Beban usaha lainnya</t>
  </si>
  <si>
    <t>6400000000 - Pendapatan usaha lainnya</t>
  </si>
  <si>
    <t>6499000000 -  Pendapatan usaha lainnya</t>
  </si>
  <si>
    <t>Beban Usaha</t>
  </si>
  <si>
    <t>Beban umum dan administrasi</t>
  </si>
  <si>
    <t>Beban penjualan dan pemasaran</t>
  </si>
  <si>
    <t>Beban usaha lainnya</t>
  </si>
  <si>
    <t>Pendapatan usaha lainnya</t>
  </si>
  <si>
    <t>7000000000 - Beban (Pendapatan) non-usaha</t>
  </si>
  <si>
    <t>Pendapatan keuangan</t>
  </si>
  <si>
    <t>Beban (Pendapatan) non-usaha</t>
  </si>
  <si>
    <t>7102000000 -  Pendapatan bunga - kontraktual</t>
  </si>
  <si>
    <t>7200000000 - Beban keuangan</t>
  </si>
  <si>
    <t>Beban keuangan</t>
  </si>
  <si>
    <t>7202000000 -  Beban bunga - kontraktual</t>
  </si>
  <si>
    <t>7299000000 -  Lain-lain</t>
  </si>
  <si>
    <t>7500000000 - Pajak final</t>
  </si>
  <si>
    <t>7501000000 -  Pajak final</t>
  </si>
  <si>
    <t>Pajak final</t>
  </si>
  <si>
    <t>7600000000 - Beban pajak penghasilan</t>
  </si>
  <si>
    <t>7601000000 -  Pajak kini</t>
  </si>
  <si>
    <t>7602000000 -  Pajak tangguhan</t>
  </si>
  <si>
    <t>Beban pajak penghasilan</t>
  </si>
  <si>
    <t>8000000000 - Other Comprehensive Income (OCI)</t>
  </si>
  <si>
    <t>Other Comprehensive Income (OCI)</t>
  </si>
  <si>
    <t>8100000000 - OCI: Pos yang tidak akan direklasifikasi ke Laba Rugi</t>
  </si>
  <si>
    <t>8101000000 -  Pengukuran kembali kewajiban imbalan pascakerja, setelah dampak pajak</t>
  </si>
  <si>
    <t>8102000000 -  Perubahan nilai wajar aset keuangan pada nilai wajar melalui penghasilan komprehensif lain, setelah dampak pajak</t>
  </si>
  <si>
    <t>8103000000 -  Bagian rugi (penghasilan) komprehensif lain dari investasi pada entitas asosiasi dan ventura bersama, setelah dampak pajak</t>
  </si>
  <si>
    <t>OCI: Pos yang tidak akan direklasifikasi ke Laba Rugi</t>
  </si>
  <si>
    <t>8200000000 - OCI: Pos yang akan direklasifikasi ke Laba Rugi</t>
  </si>
  <si>
    <t>8201000000 -  Perubahan nilai wajar aset keuangan pada nilai wajar melalui penghasilan komprehensif lain, setelah dampak pajak</t>
  </si>
  <si>
    <t>8202000000 -  Perubahan nilai wajar pada lindung nilai arus kas, setelah dampak pajak</t>
  </si>
  <si>
    <t>8203000000 -  Bagian rugi (penghasilan) komprehensif lain dari investasi pada entitas asosiasi dan ventura bersama, setelah dampak pajak</t>
  </si>
  <si>
    <t>8204000000 -  Selisih kurs penjabaran laporan keuangan, setelah dampak pajak</t>
  </si>
  <si>
    <t>OCI: Pos yang akan direklasifikasi ke Laba Rugi</t>
  </si>
  <si>
    <t>1000000000 - Aset</t>
  </si>
  <si>
    <t>1100000000 - Aset Lancar</t>
  </si>
  <si>
    <t>1101000000 -  Kas dan Setara Kas</t>
  </si>
  <si>
    <t>1102000000 -  Kas dan setara kas yang dibatasi penggunaannya</t>
  </si>
  <si>
    <t>1104000000 -  Piutang usaha - Pihak Berelasi</t>
  </si>
  <si>
    <t>1105000000 -  Piutang usaha - Pihak Ketiga</t>
  </si>
  <si>
    <t>1107000000 -  Piutang lain-lain - pihak ketiga</t>
  </si>
  <si>
    <t>1108000000 -  Persediaan - Pendapatan</t>
  </si>
  <si>
    <t>1110000000 -  Biaya dibayar dimuka dan uang muka</t>
  </si>
  <si>
    <t>1111000000 -  Pendapatan yang Masih Harus Diterima</t>
  </si>
  <si>
    <t>1112000000 -  Pajak dibayar dimuka</t>
  </si>
  <si>
    <t>1200000000 - Aset Tidak Lancar</t>
  </si>
  <si>
    <t>1201000000 -  Kas dan setara kas yang dibatasi penggunaannya</t>
  </si>
  <si>
    <t>1205000000 -  Piutang lain-lain - Pihak Ketiga</t>
  </si>
  <si>
    <t>1208000000 -  Investasi jangka panjang</t>
  </si>
  <si>
    <t>1212000000 -  Aset Pajak Tangguhan</t>
  </si>
  <si>
    <t>1213000000 -  Properti investasi</t>
  </si>
  <si>
    <t>1214000000 -  Aset tetap</t>
  </si>
  <si>
    <t>1215000000 -  Aset hak guna</t>
  </si>
  <si>
    <t>1216000000 -  Aset takberwujud</t>
  </si>
  <si>
    <t>1299000000 -  Aset tidak lancar lainnya</t>
  </si>
  <si>
    <t>2000000000 - Liabilitas</t>
  </si>
  <si>
    <t>2100000000 - Liabilitas jangka pendek</t>
  </si>
  <si>
    <t>2101000000 -  Utang usaha - Pihak Berelasi</t>
  </si>
  <si>
    <t>2102000000 -  Utang usaha - Pihak Ketiga</t>
  </si>
  <si>
    <t>2103000000 -  Pendapatan Diterima Dimuka</t>
  </si>
  <si>
    <t>2104000000 -  Beban akrual - pihak berelasi - Intragroup InJourney</t>
  </si>
  <si>
    <t>2105000000 -  Beban akrual - pihak berelasi - lainnya</t>
  </si>
  <si>
    <t>2106000000 -  Beban akrual - pihak ketiga</t>
  </si>
  <si>
    <t>2107000000 -  Utang pajak</t>
  </si>
  <si>
    <t>2110000000 -  Liabilitas imbalan kerja jangka pendek</t>
  </si>
  <si>
    <t>2113000000 -  Pinjaman dari pihak berelasi Intragroup InJourney - jangka pendek</t>
  </si>
  <si>
    <t>2114000000 -  Porsi jangka pendek utang bank dan LK non-bank jangka panjang</t>
  </si>
  <si>
    <t>2116000000 -  Porsi jangka pendek liabilitas sewa</t>
  </si>
  <si>
    <t>2199000000 -  Liabilitas jangka pendek lainnya</t>
  </si>
  <si>
    <t>2200000000 - Liabilitas jangka panjang</t>
  </si>
  <si>
    <t>2203000000 -  Pendapatan Diterima Dimuka Jangka Panjang</t>
  </si>
  <si>
    <t>2204000000 -  Liabilitas imbalan kerja jangka panjang</t>
  </si>
  <si>
    <t>2207000000 -  Porsi jangka panjang - utang bank dan LK non-bank jangka panjang</t>
  </si>
  <si>
    <t>2209000000 -  Porsi jangka panjang - liabilitas sewa</t>
  </si>
  <si>
    <t>2210000000 -  Liabilitas pajak tangguhan</t>
  </si>
  <si>
    <t>3000000000 - Ekuitas</t>
  </si>
  <si>
    <t>3100000000 - Ekuitas</t>
  </si>
  <si>
    <t>3101000000 -  Modal saham</t>
  </si>
  <si>
    <t>3104000000 -  Komponen ekuitas lainnya</t>
  </si>
  <si>
    <t>4149000000 -  Operator Atraksi - Pendapatan Usaha Lainnya</t>
  </si>
  <si>
    <t>4162000000 -  Pengembang Kawasan Wisata - Utility Charge</t>
  </si>
  <si>
    <t>4165000000 -  Pengembang Kawasan Wisata - Real Estate Sale</t>
  </si>
  <si>
    <t>4167000000 -  Pengembang Kawasan Wisata - Pendapatan Management Fee</t>
  </si>
  <si>
    <t>4231000000 -  Perhotelan &amp; Manajemen Perjalanan - Pendapatan Non-Kamar - Food &amp; Beverages</t>
  </si>
  <si>
    <t>4232000000 -  Perhotelan &amp; Manajemen Perjalanan - Pendapatan Non-Kamar - Fasilitas Hotel Lainnya</t>
  </si>
  <si>
    <t>4260000000 -  Pengembang Kawasan Wisata - Sewa</t>
  </si>
  <si>
    <t>4264000000 -  Pengembang Kawasan Wisata - Optimalisasi Lahan</t>
  </si>
  <si>
    <t>4269000000 -  Pengembang Kawasan Wisata - Lainnya</t>
  </si>
  <si>
    <t>5000000000 - Beban Pokok Pendapatan</t>
  </si>
  <si>
    <t>5144000000 -  Operator Atraksi - Event Organiser</t>
  </si>
  <si>
    <t>5162000000 -  Pengembang Kawasan Wisata - Utility Charge</t>
  </si>
  <si>
    <t>5163000000 -  Pengembang Kawasan Wisata - Bahan Bakar</t>
  </si>
  <si>
    <t>5167000000 -  Pengembang Kawasan Wisata - Beban Pokok Pendapatan Management Fee</t>
  </si>
  <si>
    <t>7100000000 - Pendapatan keuangan</t>
  </si>
  <si>
    <t>B</t>
  </si>
  <si>
    <t>D</t>
  </si>
  <si>
    <t>C</t>
  </si>
  <si>
    <t>E</t>
  </si>
  <si>
    <t>F</t>
  </si>
  <si>
    <t>G</t>
  </si>
  <si>
    <t>RPT_009</t>
  </si>
  <si>
    <t>LabaTrialBalance3rdSegment</t>
  </si>
  <si>
    <t>1101010000 -  Kas Kecil</t>
  </si>
  <si>
    <t>1101010001 - Kas Kecil - IDR</t>
  </si>
  <si>
    <t>1101010002 - Kas Kecil - USD</t>
  </si>
  <si>
    <t>1101010003 - Kas Kecil - EUR</t>
  </si>
  <si>
    <t>1101010004 - Kas Kecil - SGD</t>
  </si>
  <si>
    <t>1101010005 - Kas Kecil - Kas Dalam Perjalanan</t>
  </si>
  <si>
    <t>1101020000 -  Kas Operasional</t>
  </si>
  <si>
    <t>1101020001 - Kas Operasional - IDR - General Cashier</t>
  </si>
  <si>
    <t>1101100000 -  Kas di Bank - Pihak berelasi</t>
  </si>
  <si>
    <t>1101100320 - BNI - KC Mataram - IDR - 564 - MGPA</t>
  </si>
  <si>
    <t>1101100512 - BNI - KC Sudirman - IDR - 902 - INX</t>
  </si>
  <si>
    <t>1101100583 - BNI - KCP Sibang - IDR - 515 - ITDC</t>
  </si>
  <si>
    <t>1101100584 - BNI - KCP Sibang - IDR - 695 - ITDC</t>
  </si>
  <si>
    <t>1101100585 - BNI - KCP Sibang - IDR - 465 - ITDC</t>
  </si>
  <si>
    <t>1101100586 - BNI - KCP Sibang - IDR - 465 - ITDC</t>
  </si>
  <si>
    <t>1101100587 - BNI - KCP Sibang - IDR - 356 - ITDC</t>
  </si>
  <si>
    <t>1101100588 - BNI - KCP Sibang - IDR - 577 - ITDC</t>
  </si>
  <si>
    <t>1101100589 - BNI - KCP Sibang - IDR - 248 - ITDC</t>
  </si>
  <si>
    <t>1101100590 - BNI - KCP Praya - IDR - 237 - ITDC</t>
  </si>
  <si>
    <t>1101100882 - BNI - KC Sudirman - USD - 913 - INX</t>
  </si>
  <si>
    <t>1101100889 - BNI - KCP Sibang - USD - 755 - ITDC</t>
  </si>
  <si>
    <t>1101101893 - BRI - KCK Jakarta - IDR - 308 - MGPA</t>
  </si>
  <si>
    <t>1101101922 - BRI - KCK Jakarta - IDR - 309 - INX</t>
  </si>
  <si>
    <t>1101101927 - BRI - KCP Pujut - IDR - 565 - INU</t>
  </si>
  <si>
    <t>1101101938 - BRI - KCP Gatsu - IDR - 308 - ITDC</t>
  </si>
  <si>
    <t>1101101939 - BRI - KCP Kusuma Atmaja - IDR - 305 - ITDC</t>
  </si>
  <si>
    <t>1101101940 - BRI - KCP Kusuma Atmaja - IDR - 301 - ITDC</t>
  </si>
  <si>
    <t>1101101941 - BRI - KCP Kusuma Atmaja - IDR - 305 - ITDC</t>
  </si>
  <si>
    <t>1101102759 - BTN - KCP Grha Pertamina - IDR - 368 - MGPA</t>
  </si>
  <si>
    <t>1101102780 - BTN - KCP Gajah Mada - IDR - 410 - ITDC</t>
  </si>
  <si>
    <t>1101102781 - BTN - KCP Gajah Mada - IDR - 917 - ITDC</t>
  </si>
  <si>
    <t>1101103034 - Mandiri - KCP Praya - IDR - 015 - MGPA</t>
  </si>
  <si>
    <t>1101103155 - Mandiri - KCP Praya - IDR - 211 - MGPA</t>
  </si>
  <si>
    <t>1101103192 - Mandiri - KCP Praya - IDR - 290 - MGPA</t>
  </si>
  <si>
    <t>1101103193 - Mandiri - KCP Praya - IDR - 303 - MGPA</t>
  </si>
  <si>
    <t>1101103257 - Mandiri - KCP Praya - IDR - 407 - MGPA</t>
  </si>
  <si>
    <t>1101103326 - Mandiri - KCP Praya - IDR - 607 - MGPA</t>
  </si>
  <si>
    <t>1101103356 - Mandiri - KC Nusa Dua - IDR - 677 - INU</t>
  </si>
  <si>
    <t>1101103370 - Mandiri - KC Thamrin - IDR - 705 - INX</t>
  </si>
  <si>
    <t>1101103398 - Mandiri - KCP Praya - IDR - 782 - MGPA</t>
  </si>
  <si>
    <t>1101103399 - Mandiri - KCP Praya - IDR - 783 - MGPA</t>
  </si>
  <si>
    <t>1101103405 - Mandiri - KCP Praya - IDR - 791 - MGPA</t>
  </si>
  <si>
    <t>1101103438 - Mandiri - KC Nusa Dua - IDR - 855 - INP</t>
  </si>
  <si>
    <t>1101103439 - Mandiri - KC Nusa Dua - IDR - 855 - INU</t>
  </si>
  <si>
    <t>1101103440 - Mandiri - KCP Praya - IDR - 855 - ITDC</t>
  </si>
  <si>
    <t>1101103441 - Mandiri - KCP Praya - IDR - 855 - MMN</t>
  </si>
  <si>
    <t>1101103458 - Mandiri - KC Thamrin - IDR - 892 - INX</t>
  </si>
  <si>
    <t>1101103460 - Mandiri - KCP Praya - IDR - 895 - MGPA</t>
  </si>
  <si>
    <t>1101103461 - Mandiri - KCP Praya - IDR - 896 - MGPA</t>
  </si>
  <si>
    <t>1101103462 - Mandiri - KCP Praya - IDR - 897 - MGPA</t>
  </si>
  <si>
    <t>1101103463 - Mandiri - KCP Praya - IDR - 903 - MGPA</t>
  </si>
  <si>
    <t>1101103466 - Mandiri - KCP Praya - IDR - 909 - MGPA</t>
  </si>
  <si>
    <t>1101103474 - Mandiri - KCP Praya - IDR - 937 - MGPA</t>
  </si>
  <si>
    <t>1101103483 - Mandiri - KCP Praya - IDR - 989 - MGPA</t>
  </si>
  <si>
    <t>1101103486 - Mandiri - KC Thamrin - IDR - 991 - INX</t>
  </si>
  <si>
    <t>1101103487 - Mandiri - KC Thamrin - IDR - 992 - INX</t>
  </si>
  <si>
    <t>1101103491 - Mandiri - KC Thamrin - IDR - 996 - INX</t>
  </si>
  <si>
    <t>1101103501 - Mandiri - KCP Nusa Dua - IDR - 202 - ITDC</t>
  </si>
  <si>
    <t>1101103502 - Mandiri - KCP Nusa Dua - IDR - 409 - ITDC</t>
  </si>
  <si>
    <t>1101103503 - Mandiri - KCP Nusa Dua - IDR - 001 - ITDC</t>
  </si>
  <si>
    <t>1101103504 - Mandiri - KCP Nusa Dua - IDR - 077 - ITDC</t>
  </si>
  <si>
    <t>1101103505 - Mandiri - KCP Praya - IDR - 167 - ITDC</t>
  </si>
  <si>
    <t>1101103506 - Mandiri - KCP Nusa Dua - IDR - 863 - ITDC</t>
  </si>
  <si>
    <t>1101103507 - Mandiri - KCP Praya - IDR - 022 - ITDC</t>
  </si>
  <si>
    <t>1101103508 - Mandiri - KCP Praya - IDR - 987 - ITDC</t>
  </si>
  <si>
    <t>1101103509 - Mandiri - KCP Praya - IDR - 070 - ITDC</t>
  </si>
  <si>
    <t>1101103510 - Mandiri - KCP Nusa Dua - IDR - 339 - ITDC</t>
  </si>
  <si>
    <t>1101103511 - Mandiri - KCP Nusa Dua - IDR - 321 - ITDC</t>
  </si>
  <si>
    <t>1101103512 - Mandiri - KCP Nusa Dua - IDR - 667 - ITDC</t>
  </si>
  <si>
    <t>1101103513 - Mandiri - KCP Nusa Dua - IDR - 659 - ITDC</t>
  </si>
  <si>
    <t>1101103514 - Mandiri - KCP Praya - IDR - 972 - ITDC</t>
  </si>
  <si>
    <t>1101103515 - Mandiri - KCP Nusa Dua - IDR - 757 - ITDC</t>
  </si>
  <si>
    <t>1101103516 - Mandiri - KCP Nusa Dua - IDR - 688 - ITDC</t>
  </si>
  <si>
    <t>1101103517 - Mandiri - KCP Nusa Dua - IDR - 132 - ITDC</t>
  </si>
  <si>
    <t>1101103519 - Mandiri - KCP xxx - IDR - 160 - ITDC</t>
  </si>
  <si>
    <t>1101103520 - Mandiri - KCP xxx - IDR - 152 - ITDC</t>
  </si>
  <si>
    <t>1101103521 - Mandiri - KCP xxx - IDR - 186 - ITDC</t>
  </si>
  <si>
    <t>1101103522 - Mandiri - KCP xxx - IDR - 194 - ITDC</t>
  </si>
  <si>
    <t>1101103523 - Mandiri - KCP xxx - IDR - 202 - ITDC</t>
  </si>
  <si>
    <t>1101103524 - Mandiri - KCP xxx - IDR - 210 - ITDC</t>
  </si>
  <si>
    <t>1101103525 - Mandiri - KCP xxx - IDR - 244 - ITDC</t>
  </si>
  <si>
    <t>1101103526 - Mandiri - KCP xxx - IDR - 236 - ITDC</t>
  </si>
  <si>
    <t>1101103530 - Mandiri - KCP xxx - IDR - 178 - ITDC</t>
  </si>
  <si>
    <t>1101103601 - Mandiri - KCP Nusa Dua - IDR - 009 - ITDC</t>
  </si>
  <si>
    <t>1101103602 - Mandiri - KCP Nusa Dua - IDR - 000 - ITDC</t>
  </si>
  <si>
    <t>1101103795 - Mandiri - KC Thamrin - USD - 659 - INX</t>
  </si>
  <si>
    <t>1101103817 - Mandiri - KCP Praya - USD - 985 - MGPA</t>
  </si>
  <si>
    <t>1101103818 - Mandiri - KCP Nusa Dua - USD - 579 - ITDC</t>
  </si>
  <si>
    <t>1101103819 - Mandiri - KCP Nusa Dua - USD - 843 - ITDC</t>
  </si>
  <si>
    <t>1101103820 - Mandiri - KCP Nusa Dua - USD - 505 - ITDC</t>
  </si>
  <si>
    <t>1101103821 - Mandiri - KCP Praya - USD - 944 - ITDC</t>
  </si>
  <si>
    <t>1101103822 - Mandiri - KCP Praya - USD - 358 - ITDC</t>
  </si>
  <si>
    <t>1101104068 - Mandiri - KC Thamrin - EUR - 550 - INX</t>
  </si>
  <si>
    <t>1101104821 - Mandiri Taspen - KCP Melati - IDR - 087 - ITDC</t>
  </si>
  <si>
    <t>1101110000 -  Kas di Bank - Pihak Ketiga</t>
  </si>
  <si>
    <t>1101110033 - BCA - KCU Thamrin - IDR - 921 - INX</t>
  </si>
  <si>
    <t>1101110037 - BCA - KCP Praya - IDR - 666 - ITDC</t>
  </si>
  <si>
    <t>1101110038 - BCA - KCP KUTA - IDR - 888 - INU</t>
  </si>
  <si>
    <t>1101110341 - BPD Bali - KCP Renon - IDR - 057 - ITDC</t>
  </si>
  <si>
    <t>1101110955 - BPD Papua - KC Jakarta - IDR - 522 - INU</t>
  </si>
  <si>
    <t>1101111382 - CIMB Niaga - KCP Mataram Pejanggik - IDR - 000 - ITDC</t>
  </si>
  <si>
    <t>1101111899 - Indonesia Exim - KCP Jendral Sudirman - IDR - 013 - ITDC</t>
  </si>
  <si>
    <t>1101111900 - Indonesia Exim - KCP Jendral Sudirman - IDR - 159 - ITDC</t>
  </si>
  <si>
    <t>1101111901 - Indonesia Exim - KCP Jendral Sudirman - IDR - 275 - ITDC</t>
  </si>
  <si>
    <t>1101112304 - Mayapada - KC Sudirman - IDR - 575 - INX</t>
  </si>
  <si>
    <t>1101113039 - NTBS - KC Mataram - IDR - 270 - INU</t>
  </si>
  <si>
    <t>1101113040 - NTBS - KCP Mataram - IDR - 274 - MGPA</t>
  </si>
  <si>
    <t>1101113450 - Victoria Bank - KC Bali - IDR - 688 - ITDC</t>
  </si>
  <si>
    <t>1101113453 - Victoria Bank - KC Bali - IDR - 316 - ITDC</t>
  </si>
  <si>
    <t>1101113454 - Victoria - KC Pondok Indah - IDR - 215 - ITDC</t>
  </si>
  <si>
    <t>1101113455 - Victoria - KC Bali - USD - 411 - ITDC</t>
  </si>
  <si>
    <t>1101113456 - BJB - KC - Teuku Umar - IDR - 001 - ITDC</t>
  </si>
  <si>
    <t>1101113457 - J Trust - KCP Sahid Sudirman - IDR - 557 - ITDC</t>
  </si>
  <si>
    <t>1101200000 -  Deposito jangka pendek kurang dari 3 bulan - pihak berelasi</t>
  </si>
  <si>
    <t>1101200002 - Deposito jangka pendek kurang dari 3 bulan - IDR - Pihak berelasi Lainnya</t>
  </si>
  <si>
    <t>1101200005 - Deposito jangka pendek kurang dari 3 bulan - USD - Pihak berelasi Lainnya</t>
  </si>
  <si>
    <t>1101220000 -  Deposito jangka pendek kurang dari 3 bulan - pihak ketiga</t>
  </si>
  <si>
    <t>1101220002 - Deposito jangka pendek kurang dari 3 bulan - IDR - Pihak ketiga</t>
  </si>
  <si>
    <t>1102010000 -  Kas dan setara kas yang dibatasi penggunaannya - Pihak Berelasi</t>
  </si>
  <si>
    <t>1102010001 - Kas dan setara kas yang dibatasi penggunaannya - IDR - Pihak Berelasi Lainnya</t>
  </si>
  <si>
    <t>1102010002 - Kas dan setara kas yang dibatasi penggunaannya - USD - Pihak Berelasi Lainnya</t>
  </si>
  <si>
    <t>1102020000 -  Kas dan setara kas yang dibatasi penggunaannya - Pihak Ketiga</t>
  </si>
  <si>
    <t>1102020001 - Kas dan setara kas yang dibatasi penggunaannya - IDR - Pihak Ketiga</t>
  </si>
  <si>
    <t>1102020002 - Kas dan setara kas yang dibatasi penggunaannya - USD - Pihak Ketiga</t>
  </si>
  <si>
    <t>1104010000 -  Piutang Usaha pihak berelasi - Intragroup InJourney</t>
  </si>
  <si>
    <t>1104010001 - Piutang Usaha - IDR - Pihak berelasi - Intragroup Injourney</t>
  </si>
  <si>
    <t>1104020000 -  CKPN atas piutang usaha - Pihak Berelasi - Intragroup InJourney</t>
  </si>
  <si>
    <t>1104020001 - CKPN atas piutang usaha - Pihak Berelasi - Intragroup Injourney</t>
  </si>
  <si>
    <t>1104030000 -  Piutang usaha Pihak Berelasi - Lainnya</t>
  </si>
  <si>
    <t>1104030001 - Piutang usaha - IDR - Pihak Berelasi - Lainnya</t>
  </si>
  <si>
    <t>1104040000 -  CKPN atas piutang usaha - Pihak Berelasi - Lainnya</t>
  </si>
  <si>
    <t>1104040001 - CKPN atas piutang usaha - Pihak Berelasi - Lainnya</t>
  </si>
  <si>
    <t>1105010000 -  Piutang usaha - Pihak Ketiga</t>
  </si>
  <si>
    <t>1105010001 - Piutang usaha - IDR - Pihak Ketiga</t>
  </si>
  <si>
    <t>1105020000 -  CKPN atas Piutang usaha - Pihak Ketiga</t>
  </si>
  <si>
    <t>1105020001 - CKPN atas Piutang usaha - Pihak Ketiga</t>
  </si>
  <si>
    <t>1107010000 -  Piutang lain-lain - pihak ketiga</t>
  </si>
  <si>
    <t>1107010001 - Piutang lain-lain - Nonusaha - IDR - Pihak ketiga</t>
  </si>
  <si>
    <t>1107020000 -  CKPN atas piutang lain-lain - Pihak Ketiga</t>
  </si>
  <si>
    <t>1107020001 - CKPN atas piutang lain-lain - Nonusaha - Pihak Ketiga</t>
  </si>
  <si>
    <t>1107110000 -  Piutang lain-lain - Piutang karyawan</t>
  </si>
  <si>
    <t>1107110001 - Piutang lain-lain - Piutang karyawan</t>
  </si>
  <si>
    <t>1108020000 -  Persediaan - Pendapatan - Bahan Bakar (BBM dan pelumas)</t>
  </si>
  <si>
    <t>1108020001 - Persediaan - Pendapatan - Bahan Bakar (BBM dan pelumas)</t>
  </si>
  <si>
    <t>1108050000 -  Persediaan - Pendapatan - Persediaan Barang Penjualan F&amp;B</t>
  </si>
  <si>
    <t>1108050001 - Persediaan - Pendapatan - Persediaan Barang Penjualan F&amp;B</t>
  </si>
  <si>
    <t>1108060000 -  Persediaan - Pendapatan - Persediaan usaha real estate - Persediaan tanah</t>
  </si>
  <si>
    <t>1108060001 - Persediaan - Pendapatan - Persediaan usaha real estate - Persediaan tanah</t>
  </si>
  <si>
    <t>1110030000 -  Uang muka unit kerja (operasional)</t>
  </si>
  <si>
    <t>1110030001 - Uang muka unit kerja (operasional)</t>
  </si>
  <si>
    <t>1110290000 -  Uang muka Lainnya</t>
  </si>
  <si>
    <t>1110290006 - Uang Muka Lainnya - Pegawai - Perjalanan Dinas</t>
  </si>
  <si>
    <t>1110320000 -  Biaya asuransi dibayar di muka - Asuransi Properti</t>
  </si>
  <si>
    <t>1110320001 - Biaya asuransi dibayar di muka - Asuransi Aset</t>
  </si>
  <si>
    <t>1110510000 -  Biaya sewa dibayar di muka</t>
  </si>
  <si>
    <t>1110510002 - Biaya sewa dibayar di muka - Sewa Bangunan</t>
  </si>
  <si>
    <t>1110990000 -  Biaya umum lainnya dibayar di muka</t>
  </si>
  <si>
    <t>1110990003 - Biaya umum lainnya dibayar di muka - Operasional Lainnya</t>
  </si>
  <si>
    <t>1111050000 -  Pendapatan yang masih harus diterima - Pihak Ketiga</t>
  </si>
  <si>
    <t>1111050007 - PYMHD - Bunga - Pihak Ketiga</t>
  </si>
  <si>
    <t>1112010000 -  Pajak Pemerintah Pusat</t>
  </si>
  <si>
    <t>1112010002 - Pajak dibayar di muka - Pajak Pemerintah Pusat - PPN Masukan - Non Wajib Pungut</t>
  </si>
  <si>
    <t>1112010003 - Pajak dibayar di muka - Pajak Pemerintah Pusat - PPN Masukan - Wajib Pungut</t>
  </si>
  <si>
    <t>1112010004 - Pajak dibayar di muka - Pajak Pemerintah Pusat - PPh 21</t>
  </si>
  <si>
    <t>1112010005 - Pajak dibayar di muka - Pajak Pemerintah Pusat - PPh 22</t>
  </si>
  <si>
    <t>1112010006 - Pajak dibayar di muka - Pajak Pemerintah Pusat - PPh 23</t>
  </si>
  <si>
    <t>1112010007 - Pajak dibayar di muka - Pajak Pemerintah Pusat - PPh 25</t>
  </si>
  <si>
    <t>1112010008 - Pajak dibayar di muka - Pajak Pemerintah Pusat - PPh 26</t>
  </si>
  <si>
    <t>1112020000 -  Pajak Pemerintah Daerah</t>
  </si>
  <si>
    <t>1112020001 - Pajak dibayar di muka - Pajak Pemerintah Daerah - Lainnya</t>
  </si>
  <si>
    <t>1112020002 - Pajak dibayar di muka - Pajak Pemerintah Daerah - PBB</t>
  </si>
  <si>
    <t>1201010000 -  Kas Dan Setara Kas Yang Dibatasi Penggunaannya - Pihak Berelasi</t>
  </si>
  <si>
    <t>1201010002 - Kas dan setara kas yang dibatasi penggunaannya - Pihak Berelasi</t>
  </si>
  <si>
    <t>1205010000 -  Piutang Lain-Lain - Pihak Ketiga</t>
  </si>
  <si>
    <t>1205010001 - Piutang Lain-Lain - Nonusaha - IDR - Pihak ketiga</t>
  </si>
  <si>
    <t>1205020000 -  CKPN atas piutang Lain-Lain - Pihak Ketiga</t>
  </si>
  <si>
    <t>1205020001 - CKPN atas Piutang lain-lain - Nonusaha - Pihak Ketiga</t>
  </si>
  <si>
    <t>1208020000 -  Aset Keuangan Pada Nilai Wajar Melalui Penghasilan Komprehensif Lain - Pihak Ketiga</t>
  </si>
  <si>
    <t>1208020002 - Aset Keuangan Pada Nilai Wajar Melalui Penghasilan Komprehensif Lain - Saham - Penyesuaian Nilai Wajar - Pihak Ketiga</t>
  </si>
  <si>
    <t>1208070000 -  Aset Keuangan Pada Biaya Perolehan Diamortisasi - Pihak Berelasi Lainnya</t>
  </si>
  <si>
    <t>1208070003 - Aset Keuangan Pada Biaya Perolehan Diamortisasi - Surat berharga Reksadana - IDR - Pihak Berelasi Lainnya</t>
  </si>
  <si>
    <t>1212010000 -  Aset Pajak Tangguhan</t>
  </si>
  <si>
    <t>1212010001 - Aset Pajak Tangguhan</t>
  </si>
  <si>
    <t>1213010000 -  Properti Investasi - Tanah</t>
  </si>
  <si>
    <t>1213010001 - Properti investasi - Tanah</t>
  </si>
  <si>
    <t>1214010000 -  Tanah</t>
  </si>
  <si>
    <t>1214010001 - Tanah</t>
  </si>
  <si>
    <t>1214030000 -  Bangunan Prasarana</t>
  </si>
  <si>
    <t>1214030001 - Bangunan Prasarana</t>
  </si>
  <si>
    <t>1214040000 -  Bangunan Gedung</t>
  </si>
  <si>
    <t>1214040001 - Bangunan Gedung</t>
  </si>
  <si>
    <t>1214050000 -  Kendaraan Bermotor</t>
  </si>
  <si>
    <t>1214050001 - Kendaraan Bermotor</t>
  </si>
  <si>
    <t>1214070000 -  Mesin Dan Peralatan</t>
  </si>
  <si>
    <t>1214070001 - Mesin dan Peralatan</t>
  </si>
  <si>
    <t>1214080000 -  Perabotan Dan Perlengkapan</t>
  </si>
  <si>
    <t>1214080001 - Perabotan dan perlengkapan</t>
  </si>
  <si>
    <t>1214190000 -  Aset tetap dalam penyelesaian</t>
  </si>
  <si>
    <t>1214190001 - Aset tetap dalam penyelesaian</t>
  </si>
  <si>
    <t>1214210000 -  Akumulasi Depresiasi - Bangunan Prasarana</t>
  </si>
  <si>
    <t>1214210001 - Akumulasi Depresiasi - Bangunan Prasarana</t>
  </si>
  <si>
    <t>1214220000 -  Akumulasi Depresiasi - Bangunan Gedung</t>
  </si>
  <si>
    <t>1214220001 - Akumulasi Depresiasi - Bangunan Gedung</t>
  </si>
  <si>
    <t>1214230000 -  Akumulasi Depresiasi - Kendaraan Bermotor</t>
  </si>
  <si>
    <t>1214230001 - Akumulasi Depresiasi - Kendaraan Bermotor</t>
  </si>
  <si>
    <t>1214250000 -  Akumulasi Depresiasi - Mesin Dan Peralatan</t>
  </si>
  <si>
    <t>1214250001 - Akumulasi Depresiasi - Mesin dan Peralatan</t>
  </si>
  <si>
    <t>1214260000 -  Akumulasi Depresiasi - Perabotan Dan Perlengkapan</t>
  </si>
  <si>
    <t>1214260001 - Akumulasi depresiasi - Perabotan dan perlengkapan</t>
  </si>
  <si>
    <t>1215010000 -  Aset Hak Guna - Tanah - Konsesi Lahan / HPL / HGB / HGU</t>
  </si>
  <si>
    <t>1215010001 - Aset hak guna - Tanah - Konsesi Lahan / HPL / HGB / HGU</t>
  </si>
  <si>
    <t>1215040000 -  Aset Hak Guna - Bangunan Gedung</t>
  </si>
  <si>
    <t>1215040001 - Aset hak guna - Bangunan gedung</t>
  </si>
  <si>
    <t>1215200000 -  Akumulasi Depresiasi - Aset Hak Guna - Tanah - Konsesi Lahan / HPL / HGB / HGU</t>
  </si>
  <si>
    <t>1215200001 - Akumulasi Depresiasi - Aset hak guna - Tanah - Konsesi Lahan / HPL / HGB / HGU</t>
  </si>
  <si>
    <t>1215230000 -  Akumulasi Depresiasi - Aset Hak Guna - Bangunan Gedung</t>
  </si>
  <si>
    <t>1215230001 - Akumulasi depresiasi - Aset hak guna - Bangunan gedung</t>
  </si>
  <si>
    <t>1216020000 -  Lisensi</t>
  </si>
  <si>
    <t>1216020001 - Lisensi</t>
  </si>
  <si>
    <t>1216030000 -  Perangkat Lunak</t>
  </si>
  <si>
    <t>1216030001 - Perangkat Lunak</t>
  </si>
  <si>
    <t>1216210000 -  Akumulasi Amortisasi - Lisensi</t>
  </si>
  <si>
    <t>1216210001 - Akumulasi amortisasi - Lisensi</t>
  </si>
  <si>
    <t>1216220000 -  Akumulasi Amortisasi - Perangkat Lunak</t>
  </si>
  <si>
    <t>1216220001 - Akumulasi amortisasi - Perangkat lunak</t>
  </si>
  <si>
    <t>1299010000 -  Uang Jaminan</t>
  </si>
  <si>
    <t>1299010001 - Uang Jaminan</t>
  </si>
  <si>
    <t>2101010000 -  Utang usaha pihak berelasi - Intragroup InJourney</t>
  </si>
  <si>
    <t>2101010001 - Utang usaha jangka pendek - Pihak berelasi - intragroup Injourney</t>
  </si>
  <si>
    <t>2101020000 -  Utang usaha pihak berelasi - lainnya</t>
  </si>
  <si>
    <t>2101020001 - Utang usaha jangka pendek - Pihak berelasi lainnya</t>
  </si>
  <si>
    <t>2102010000 -  Utang usaha - pihak ketiga</t>
  </si>
  <si>
    <t>2102010001 - Utang usaha jangka pendek - Pihak ketiga</t>
  </si>
  <si>
    <t>2103010000 -  Pendapatan Diterima Dimuka berelasi - Intragroup Injourney</t>
  </si>
  <si>
    <t>2103010001 - Pendapatan diterima dimuka - Pihak berelasi - intragroup Injourney</t>
  </si>
  <si>
    <t>2103020000 -  Pendapatan Diterima Dimuka berelasi - lainnya</t>
  </si>
  <si>
    <t>2103020001 - Pendapatan diterima dimuka - Pihak berelasi lainnya</t>
  </si>
  <si>
    <t>2103030000 -  Pendapatan Diterima Dimuka - Pihak Ketiga</t>
  </si>
  <si>
    <t>2103030001 - Pendapatan Diterima Dimuka - Pihak Ketiga</t>
  </si>
  <si>
    <t>2104020000 -  Umum dan Pemeliharaan</t>
  </si>
  <si>
    <t>2104020001 - Beban Akrual - Umum dan Pemeliharaan - Pihak berelasi - intragroup Injourney</t>
  </si>
  <si>
    <t>2105020000 -  Umum dan Pemeliharaan</t>
  </si>
  <si>
    <t>2105020001 - Beban Akrual - Umum dan Pemeliharaan - Pihak berelasi lainnya</t>
  </si>
  <si>
    <t>2106020000 -  Umum dan Pemeliharaan</t>
  </si>
  <si>
    <t>2106020001 - Beban Akrual - Umum dan Pemeliharaan - Pihak ketiga</t>
  </si>
  <si>
    <t>2106040000 -  Jasa profesional dan konsultan</t>
  </si>
  <si>
    <t>2106040001 - Beban Akrual - Jasa profesional dan konsultan - Pihak ketiga</t>
  </si>
  <si>
    <t>2106200000 -  Pegawai</t>
  </si>
  <si>
    <t>2106200003 - Beban Akrual - Tunjangan-tunjangan Pegawai - Pihak ketiga</t>
  </si>
  <si>
    <t>2106210000 -  Jasa konstruksi proyek</t>
  </si>
  <si>
    <t>2106210001 - Beban Akrual - Jasa konstruksi proyek - Pihak ketiga</t>
  </si>
  <si>
    <t>2107010000 -  Utang Pajak Pemerintah Pusat</t>
  </si>
  <si>
    <t>2107010001 - Utang Pajak - Pemerintah Pusat - PPN - Pajak Keluaran - Non Wajib Pungut</t>
  </si>
  <si>
    <t>2107010002 - Utang Pajak - Pemerintah Pusat - PPN - Pajak Keluaran - Wajib Pungut</t>
  </si>
  <si>
    <t>2107010004 - Utang Pajak - Pemerintah Pusat - PPh 21 - Karyawan</t>
  </si>
  <si>
    <t>2107010005 - Utang Pajak - Pemerintah Pusat - PPh 21 - Nonkaryawan</t>
  </si>
  <si>
    <t>2107010006 - Utang Pajak - Pemerintah Pusat - PPh 22</t>
  </si>
  <si>
    <t>2107010007 - Utang Pajak - Pemerintah Pusat - PPh 23</t>
  </si>
  <si>
    <t>2107010009 - Utang Pajak - Pemerintah Pusat - PPh 25</t>
  </si>
  <si>
    <t>2107010010 - Utang Pajak - Pemerintah Pusat - PPh 26</t>
  </si>
  <si>
    <t>2107010012 - Utang Pajak - Pemerintah Pusat - PPh 4 ayat 2</t>
  </si>
  <si>
    <t>2107010013 - Utang Pajak - Pemerintah Pusat - PPN masukan yang dapat dikreditkan</t>
  </si>
  <si>
    <t>2107020000 -  Utang Pajak Pemerintah Daerah</t>
  </si>
  <si>
    <t>2107020002 - Utang Pajak - Pemerintah Daerah - Hiburan</t>
  </si>
  <si>
    <t>2107020003 - Utang Pajak - Pemerintah Daerah - Hotel dan Restoran</t>
  </si>
  <si>
    <t>2110020000 -  Liabilitas Tantiem dan Insentif Kinerja</t>
  </si>
  <si>
    <t>2110020001 - Liabilitas imbalan kerja - Akrual Insentif Kinerja</t>
  </si>
  <si>
    <t>2113010000 -  Pinjaman dari pihak berelasi Intragroup InJourney - jangka pendek</t>
  </si>
  <si>
    <t>2113010001 - Pinjaman dari Pihak Berelasi - Intragroup Injourney - jangka pendek</t>
  </si>
  <si>
    <t>2114010000 -  Pinjaman bank dan LK non-bank, bagian lancar - pihak berelasi</t>
  </si>
  <si>
    <t>2114010001 - Pinjaman Bank dan LK Non-Bank - Porsi Jangka Pendek - Pihak berelasi lainnya</t>
  </si>
  <si>
    <t>2116020000 -  Liabilitas sewa, bagian lancar - pihak berelasi lainnya</t>
  </si>
  <si>
    <t>2116020004 - Liabilitas sewa - Porsi Jangka Pendek - Bangunan Gedung - Pihak berelasi lainnya</t>
  </si>
  <si>
    <t>2116030000 -  Liabilitas sewa, bagian lancar - pihak ketiga</t>
  </si>
  <si>
    <t>2116030001 - Liabilitas sewa - Porsi Jangka Pendek - Tanah - Pihak ketiga</t>
  </si>
  <si>
    <t>2199030000 -  Utang jaminan pelanggan - pihak ketiga</t>
  </si>
  <si>
    <t>2199030001 - Utang Jaminan Pelanggan - Pihak ketiga</t>
  </si>
  <si>
    <t>2199990000 -  Lain-lain</t>
  </si>
  <si>
    <t>2199990099 - Liabilitas jangka pendek lainnya - Transaksi internal</t>
  </si>
  <si>
    <t>2203030000 -  Pendapatan Diterima Dimuka - Pihak Ketiga</t>
  </si>
  <si>
    <t>2203030001 - Pendapatan Diterima Dimuka - Pihak ketiga</t>
  </si>
  <si>
    <t>2204010000 -  Imbalan pascakerja jangka panjang</t>
  </si>
  <si>
    <t>2204010003 - Imbalan program pensiun jangka panjang</t>
  </si>
  <si>
    <t>2207010000 -  Pinjaman bank dan LK non-bank - pihak berelasi</t>
  </si>
  <si>
    <t>2207010001 - Pinjaman bank dan LK non bank - Porsi Jangka Panjang - Pihak berelasi lainnya</t>
  </si>
  <si>
    <t>2207020000 -  Pinjaman bank dan LK non-bank - pihak ketiga</t>
  </si>
  <si>
    <t>2207020001 - Pinjaman bank dan LK non-bank - Porsi Jangka Panjang - Pihak ketiga</t>
  </si>
  <si>
    <t>2209030000 -  Liabilitas sewa - pihak ketiga</t>
  </si>
  <si>
    <t>2209030001 - Liabilitas sewa - Porsi Jangka Panjang - Tanah - Pihak ketiga</t>
  </si>
  <si>
    <t>2210010000 -  Liabilitas pajak tangguhan</t>
  </si>
  <si>
    <t>2210010001 - Liabilitas pajak tangguhan</t>
  </si>
  <si>
    <t>3101010000 -  Modal saham</t>
  </si>
  <si>
    <t>3101010001 - Modal saham - Modal Disetor Dan Ditempatkan</t>
  </si>
  <si>
    <t>3104010000 -  Komponen ekuitas lainnya</t>
  </si>
  <si>
    <t>3104010004 - Komponen Ekuitas Lainnya - Modal Sumbangan</t>
  </si>
  <si>
    <t>3105010000 -  Saldo laba dicadangkan</t>
  </si>
  <si>
    <t>3105010001 - Saldo laba dicadangkan - Cadangan Umum</t>
  </si>
  <si>
    <t>3106020000 -  Akumulasi Laba/Rugi tahun lalu</t>
  </si>
  <si>
    <t>3106020001 - Akumulasi Laba/Rugi tahun lalu</t>
  </si>
  <si>
    <t>3106030000 -  Laba/Rugi Tahun Berjalan</t>
  </si>
  <si>
    <t>3106030001 - Laba/rugi tahun berjalan</t>
  </si>
  <si>
    <t>3107010000 -  Pos yang tidak akan direklasifikasi ke Laba Rugi - Pengukuran kembali kewajiban imbalan pascakerja, setelah dampak pajak</t>
  </si>
  <si>
    <t>3107010001 - Pos yang tidak akan direklasifikasi ke Laba Rugi - Pengukuran kembali kewajiban imbalan pascakerja, setelah dampak pajak</t>
  </si>
  <si>
    <t>3107020000 -  Pos yang tidak akan direklasifikasi ke Laba Rugi - Perubahan nilai wajar aset keuangan pada nilai wajar melalui penghasilan komprehensif lain - Penyertaan Saham, setelah dampak pajak</t>
  </si>
  <si>
    <t>3107020001 - Pos yang tidak akan direklasifikasi ke Laba Rugi - Perubahan nilai wajar aset keuangan pada nilai wajar melalui penghasilan komprehensif lain - Penyertaan Saham, setelah dampak pajak</t>
  </si>
  <si>
    <t>3107030000 -  Pos yang tidak akan direklasifikasi ke Laba Rugi - Bagian rugi (penghasilan) komprehensif lain dari investasi pada entitas asosiasi dan ventura bersama, setelah dampak pajak</t>
  </si>
  <si>
    <t>3107030001 - Pos yang tidak akan direklasifikasi ke Laba Rugi - Bagian rugi (penghasilan) komprehensif lain dari investasi pada entitas asosiasi dan ventura bersama setelah dampak pajak</t>
  </si>
  <si>
    <t>3108010000 -  Kepentingan non-pengendali</t>
  </si>
  <si>
    <t>3108010001 - Kepentingan non-pengendali</t>
  </si>
  <si>
    <t>4141040000 -  Event dan Promosi</t>
  </si>
  <si>
    <t>4141040001 - Pendapatan Event &amp; Promotion</t>
  </si>
  <si>
    <t>4144010000 -  Ticket Revenue</t>
  </si>
  <si>
    <t>4144010001 - Race - Pendapatan Tiket Event</t>
  </si>
  <si>
    <t>4144020000 -  Sponsorship Revenue</t>
  </si>
  <si>
    <t>4144020001 - Pendapatan Sponsorship</t>
  </si>
  <si>
    <t>4144030000 -  Event</t>
  </si>
  <si>
    <t>4144030001 - Pendapatan Event &amp; Promotion</t>
  </si>
  <si>
    <t>4144040000 -  Sewa</t>
  </si>
  <si>
    <t>4144040001 - Pendapatan Sewa Lahan</t>
  </si>
  <si>
    <t>4144070000 -  Technical Fee</t>
  </si>
  <si>
    <t>4144070001 - Pendapatan Technical Fee (Race)</t>
  </si>
  <si>
    <t>4144080000 -  Sewa Peralatan Event</t>
  </si>
  <si>
    <t>4144080001 - Pendapatan Sewa Peralatan Event</t>
  </si>
  <si>
    <t>4144090000 -  Visa Handling</t>
  </si>
  <si>
    <t>4144090001 - Race - Pendapatan Visa Handling</t>
  </si>
  <si>
    <t>4149990000 -  Pendapatan Usaha Lainnya</t>
  </si>
  <si>
    <t>4149990002 - Pendapatan Technical Advisor Fee</t>
  </si>
  <si>
    <t>4161010000 -  Sewa</t>
  </si>
  <si>
    <t>4161010001 - Pendapatan Sewa Lahan</t>
  </si>
  <si>
    <t>4161020000 -  Revenue Sharing</t>
  </si>
  <si>
    <t>4161020001 - Revenue Sharing - Others</t>
  </si>
  <si>
    <t>4161030000 -  Maintenance &amp; Service Fee</t>
  </si>
  <si>
    <t>4161030001 - Pendapatan Pengelolaan Lingkungan</t>
  </si>
  <si>
    <t>4162010000 -  Pendapatan Air</t>
  </si>
  <si>
    <t>4162010001 - Pendapatan Air Bersih</t>
  </si>
  <si>
    <t>4162010002 - Pendapatan Air Irigasi</t>
  </si>
  <si>
    <t>4162020000 -  Maintenance &amp; Service Fee</t>
  </si>
  <si>
    <t>4162020001 - Pendapatan Maintenance &amp; Service Fee</t>
  </si>
  <si>
    <t>4162020002 - Pendapatan Air Limbah</t>
  </si>
  <si>
    <t>4162020003 - Pendapatan Connection Charge</t>
  </si>
  <si>
    <t>4163010000 -  Pendapatan Bahan Bakar</t>
  </si>
  <si>
    <t>4163010001 - Pendapatan SPBU</t>
  </si>
  <si>
    <t>4164010000 -  Komersialisasi Lahan</t>
  </si>
  <si>
    <t>4164010002 - Pendapatan Media Promosi</t>
  </si>
  <si>
    <t>4165010000 -  Penjualan Lahan</t>
  </si>
  <si>
    <t>4165010001 - Pendapatan Penjualan Lahan</t>
  </si>
  <si>
    <t>4167010000 -  Pendapatan Management Fee  - Gas, ICT, Solar VP</t>
  </si>
  <si>
    <t>4167010001 - Pendapatan Management Fee atas Gas</t>
  </si>
  <si>
    <t>4167010002 - Pendapatan Management Fee atas ICT</t>
  </si>
  <si>
    <t>4167010003 - Pendapatan Management Fee atas Solar VP</t>
  </si>
  <si>
    <t>4230010000 -  Kamar</t>
  </si>
  <si>
    <t>4230010001 - Pendapatan Kamar</t>
  </si>
  <si>
    <t>4231010000 -  Food</t>
  </si>
  <si>
    <t>4231010006 - Pendapatan Food - Restaurant</t>
  </si>
  <si>
    <t>4231020000 -  Beverages</t>
  </si>
  <si>
    <t>4231020006 - Pendapatan Beverages - Restaurant</t>
  </si>
  <si>
    <t>4232010000 -  Sewa</t>
  </si>
  <si>
    <t>4232010002 - Pendapatan Sewa Ruangan - MICE</t>
  </si>
  <si>
    <t>4232050000 -  Fasilitas Hotel Lainnya</t>
  </si>
  <si>
    <t>4232050010 - Pendapatan Fasilitas Hotel Lainnya</t>
  </si>
  <si>
    <t>4260010000 -  Pendapatan Sewa</t>
  </si>
  <si>
    <t>4260010003 - Pendapatan Sewa Lahan</t>
  </si>
  <si>
    <t>4260010005 - Pendapatan Sewa Tempat</t>
  </si>
  <si>
    <t>4264010000 -  Komersialisasi Lahan</t>
  </si>
  <si>
    <t>4264010001 - Pendapatan Optimalisasi Aset</t>
  </si>
  <si>
    <t>4266010000 -  Revenue Sharing</t>
  </si>
  <si>
    <t>4266010001 - Revenue Sharing - Others</t>
  </si>
  <si>
    <t>4269010000 -  DTW Water Blow</t>
  </si>
  <si>
    <t>4269010001 - Pendapatan DTW</t>
  </si>
  <si>
    <t>4269990000 -  Pendapatan Usaha Lainnya</t>
  </si>
  <si>
    <t>4269990001 - Pendapatan Pulau</t>
  </si>
  <si>
    <t>4269990002 - Pendapatan Usaha Lainnya</t>
  </si>
  <si>
    <t>4344100000 -  Operator - Fixed Fee</t>
  </si>
  <si>
    <t>4344100001 - Pendapatan Fee Jasa Event Organizer</t>
  </si>
  <si>
    <t>4369030000 -  Pendapatan Usaha Lainnya</t>
  </si>
  <si>
    <t>4369030001 - Pendapatan Usaha Lainnya</t>
  </si>
  <si>
    <t>5141990000 -  Beban Lainnya</t>
  </si>
  <si>
    <t>5141990002 - Technical Advisor Fee</t>
  </si>
  <si>
    <t>5144050000 -  Beban Sewa</t>
  </si>
  <si>
    <t>5144050001 - Beban Pokok Pendapatan - Sewa</t>
  </si>
  <si>
    <t>5144050002 - Beban Pokok Pendapatan - Event - Race</t>
  </si>
  <si>
    <t>5144050003 - Beban Pokok Pendapatan - Sewa Peralatan Event</t>
  </si>
  <si>
    <t>5144160000 -  Beban Visa Handling</t>
  </si>
  <si>
    <t>5144160001 - Beban Pokok Pendapatan - Visa Handling - Race</t>
  </si>
  <si>
    <t>5144700000 -  Beban Ticket Revenue</t>
  </si>
  <si>
    <t>5144700001 - Beban Pokok Pendapatan - Tiket Event - Race</t>
  </si>
  <si>
    <t>5144710000 -  Beban Sponsorship Revenue</t>
  </si>
  <si>
    <t>5144710001 - Beban Pokok Pendapatan - Sponsorship</t>
  </si>
  <si>
    <t>5144720000 -  Beban Event</t>
  </si>
  <si>
    <t>5144720001 - Beban Pokok Pendapatan - Event - Non-Race</t>
  </si>
  <si>
    <t>5144720002 - Beban Pokok Pendapatan - Event - Race</t>
  </si>
  <si>
    <t>5144750000 -  Beban Technical Fee</t>
  </si>
  <si>
    <t>5144750001 - Beban Pokok Pendapatan - Technical Fee - Race</t>
  </si>
  <si>
    <t>5162700000 -  Beban Air</t>
  </si>
  <si>
    <t>5162700001 - Beban Pokok Pendapatan - Air Bersih</t>
  </si>
  <si>
    <t>5162760000 -  Beban Maintenance &amp; Service Fee</t>
  </si>
  <si>
    <t>5162760002 - Beban Pokok Pendapatan - Maintenance &amp; Service Fee</t>
  </si>
  <si>
    <t>5162990000 -  Beban Lainnya</t>
  </si>
  <si>
    <t>5162990001 - Beban Lainnya</t>
  </si>
  <si>
    <t>5163710000 -  Beban Bahan Bakar</t>
  </si>
  <si>
    <t>5163710001 - Beban Pokok Pendapatan - SPBU</t>
  </si>
  <si>
    <t>5164720000 -  Beban Komersialisasi Lahan</t>
  </si>
  <si>
    <t>5164720001 - Beban Pokok Pendapatan - Optimalisasi Aset</t>
  </si>
  <si>
    <t>5165730000 -  Beban Penjualan Lahan</t>
  </si>
  <si>
    <t>5165730001 - Beban Pokok Pendapatan - Penjualan Lahan</t>
  </si>
  <si>
    <t>5167780000 -  Beban Management Fee</t>
  </si>
  <si>
    <t>5167780003 - Beban Pokok Pendapatan - Management Fee atas Solar VP</t>
  </si>
  <si>
    <t>5230990000 -  Beban Pokok Pendapatan Kamar Lainnya</t>
  </si>
  <si>
    <t>5230990010 - Beban Pokok Pendapatan - Kamar Lainnya</t>
  </si>
  <si>
    <t>5231990000 -  Beban Pokok Pendapatan Food &amp; Beverages Lainnya</t>
  </si>
  <si>
    <t>5231990010 - Beban Pokok Pendapatan - Food &amp; Beverages Lainnya</t>
  </si>
  <si>
    <t>5232050000 -  Beban Sewa</t>
  </si>
  <si>
    <t>5232050002 - Beban Pendapatan Sewa Ruangan - MICE</t>
  </si>
  <si>
    <t>5232990000 -  Beban Pokok Pendapatan Fasilitas Hotel Lainnya</t>
  </si>
  <si>
    <t>5232990010 - Beban Pokok Pendapatan - Fasilitas Hotel Lainnya</t>
  </si>
  <si>
    <t>5235110000 -  Beban Management Fee</t>
  </si>
  <si>
    <t>5235110001 - Management fee</t>
  </si>
  <si>
    <t>5269790000 -  Beban DTW Water Blow</t>
  </si>
  <si>
    <t>5269790001 - Beban Pokok Pendapatan - DTW</t>
  </si>
  <si>
    <t>6101010000 -  Gaji dan Upah</t>
  </si>
  <si>
    <t>6101010001 - Beban Gaji Dasar</t>
  </si>
  <si>
    <t>6101020000 -  Beban Perjanjian Kerja Waktu Tertentu (PKWT)</t>
  </si>
  <si>
    <t>6101020001 - Beban Gaji PKWT</t>
  </si>
  <si>
    <t>6101020002 - Beban Kompensasi PKWT</t>
  </si>
  <si>
    <t>6101030000 -  Tunjangan-tunjangan</t>
  </si>
  <si>
    <t>6101030001 - Beban Tunjangan Cuti - Pegawai</t>
  </si>
  <si>
    <t>6101030002 - Beban Tunjangan Hari Raya</t>
  </si>
  <si>
    <t>6101030003 - Beban Tunjangan Jabatan dan Posisi</t>
  </si>
  <si>
    <t>6101030006 - Beban Tunjangan Kesejahteraan</t>
  </si>
  <si>
    <t>6101030007 - Beban Tunjangan Komunikasi</t>
  </si>
  <si>
    <t>6101030008 - Beban Tunjangan Perumahan</t>
  </si>
  <si>
    <t>6101040000 -  Beban Insentif Kinerja</t>
  </si>
  <si>
    <t>6101040001 - Beban Insentif Kinerja</t>
  </si>
  <si>
    <t>6101050000 -  Beban Kelebihan Jam Kerja</t>
  </si>
  <si>
    <t>6101050001 - Beban Kelebihan Jam Kerja</t>
  </si>
  <si>
    <t>6101080000 -  Natura</t>
  </si>
  <si>
    <t>6101080003 - Beban Asuransi Ketenagakerjaan - Pegawai</t>
  </si>
  <si>
    <t>6101080004 - Beban Pakaian Dinas</t>
  </si>
  <si>
    <t>6101080005 - Beban kesehatan non-asuransi - Pegawai</t>
  </si>
  <si>
    <t>6101080006 - Beban asuransi kesehatan - pegawai</t>
  </si>
  <si>
    <t>6101080007 - Beban Tunjangan PPh 21</t>
  </si>
  <si>
    <t>6102010000 -  Tanah</t>
  </si>
  <si>
    <t>6102010001 - Beban Pemeliharaan dan Perbaikan Tanah</t>
  </si>
  <si>
    <t>6102020000 -  Bangunan lapangan</t>
  </si>
  <si>
    <t>6102020001 - Beban Pemeliharaan dan Perbaikan Bangunan Lapangan</t>
  </si>
  <si>
    <t>6102030000 -  Bangunan prasarana</t>
  </si>
  <si>
    <t>6102030001 - Beban Pemeliharaan dan Perbaikan Bangunan Prasarana</t>
  </si>
  <si>
    <t>6102040000 -  Bangunan gedung</t>
  </si>
  <si>
    <t>6102040001 - Beban Pemeliharaan dan Perbaikan Bangunan Gedung</t>
  </si>
  <si>
    <t>6102050000 -  Kendaraan Bermotor</t>
  </si>
  <si>
    <t>6102050001 - Beban Pemeliharaan dan Perbaikan Kendaraan Bermotor</t>
  </si>
  <si>
    <t>6102060000 -  Instalasi dan jaringan</t>
  </si>
  <si>
    <t>6102060001 - Beban Pemeliharaan dan Perbaikan Instalasi dan Jaringan</t>
  </si>
  <si>
    <t>6102070000 -  Mesin dan peralatan</t>
  </si>
  <si>
    <t>6102070001 - Beban Pemeliharaan dan Perbaikan Mesin dan Peralatan</t>
  </si>
  <si>
    <t>6102080000 -  Perabotan dan Perlengkapan</t>
  </si>
  <si>
    <t>6102080001 - Beban Pemeliharaan dan Perbaikan Perabotan dan Perlengkapan</t>
  </si>
  <si>
    <t>6102090000 -  Aset tak berwujud</t>
  </si>
  <si>
    <t>6102090001 - Beban Pemeliharaan dan Perbaikan Aset tak berwujud</t>
  </si>
  <si>
    <t>6103010000 -  Air</t>
  </si>
  <si>
    <t>6103010001 - Beban Rekening Air</t>
  </si>
  <si>
    <t>6103020000 -  Listrik</t>
  </si>
  <si>
    <t>6103020001 - Beban Rekening Listrik</t>
  </si>
  <si>
    <t>6103030000 -  Telepon dan Internet</t>
  </si>
  <si>
    <t>6103030001 - Beban Internet, Telepon, dan Telex</t>
  </si>
  <si>
    <t>6103040000 -  Utilitas lainnya</t>
  </si>
  <si>
    <t>6103040001 - Beban Utilitas Lainnya</t>
  </si>
  <si>
    <t>6104010000 -  Sewa Tanah</t>
  </si>
  <si>
    <t>6104010001 - Beban Sewa Tanah</t>
  </si>
  <si>
    <t>6104020000 -  Sewa Bangunan</t>
  </si>
  <si>
    <t>6104020001 - Beban Sewa Bangunan Gedung</t>
  </si>
  <si>
    <t>6104030000 -  Sewa Perabotan dan Perlengkapan</t>
  </si>
  <si>
    <t>6104030001 - Beban Sewa Perabotan dan Perlengkapan</t>
  </si>
  <si>
    <t>6104040000 -  Sewa Kendaraan</t>
  </si>
  <si>
    <t>6104040001 - Beban Sewa Kendaraan Bermotor</t>
  </si>
  <si>
    <t>6104050000 -  Sewa Mesin dan Peralatan</t>
  </si>
  <si>
    <t>6104050001 - Beban Sewa Mesin dan Peralatan</t>
  </si>
  <si>
    <t>6105020000 -  Depresiasi aset tetap</t>
  </si>
  <si>
    <t>6105020002 - Beban Depresiasi - Bangunan Prasarana</t>
  </si>
  <si>
    <t>6105020003 - Beban Depresiasi - Bangunan Gedung</t>
  </si>
  <si>
    <t>6105020004 - Beban Depresiasi - Kendaraan Bermotor</t>
  </si>
  <si>
    <t>6105020006 - Beban Depresiasi - Mesin dan Peralatan</t>
  </si>
  <si>
    <t>6105020007 - Beban Depresiasi - Perabotan dan Perlengkapan</t>
  </si>
  <si>
    <t>6105030000 -  Depresiasi aset hak guna</t>
  </si>
  <si>
    <t>6105030001 - Beban Depresiasi Aset Hak Guna - Tanah - Konsesi Lahan / HPL / HGB / HGU</t>
  </si>
  <si>
    <t>6105030004 - Beban Depresiasi Aset Hak Guna - Bangunan Gedung</t>
  </si>
  <si>
    <t>6105040000 -  Amortisasi aset tak berwujud</t>
  </si>
  <si>
    <t>6105040003 - Beban Amortisasi Aset Tak Berwujud - Perangkat Lunak</t>
  </si>
  <si>
    <t>6106010000 -  Honorarium</t>
  </si>
  <si>
    <t>6106010001 - Beban Honorarium - Direksi</t>
  </si>
  <si>
    <t>6106010002 - Beban Honorarium - Komisaris</t>
  </si>
  <si>
    <t>6106020000 -  Natura</t>
  </si>
  <si>
    <t>6106020001 - Beban Asuransi Purna Jabatan - Direksi</t>
  </si>
  <si>
    <t>6106020002 - Beban Asuransi Purna Jabatan - Komisaris</t>
  </si>
  <si>
    <t>6106020003 - Beban Pakaian Dinas - Direksi</t>
  </si>
  <si>
    <t>6106020004 - Beban Pakaian Dinas - Komisaris</t>
  </si>
  <si>
    <t>6106020005 - Beban kesehatan non-asuransi - Direksi</t>
  </si>
  <si>
    <t>6106020006 - Beban asuransi kesehatan - Direksi</t>
  </si>
  <si>
    <t>6106020007 - Beban kesehatan non-asuransi - Komisaris</t>
  </si>
  <si>
    <t>6106020008 - Beban asuransi kesehatan - Komisaris</t>
  </si>
  <si>
    <t>6106020009 - Beban Sewa Kendaraan Bermotor - Direksi</t>
  </si>
  <si>
    <t>6106020010 - Beban Tunjangan PPh 21 - Direksi</t>
  </si>
  <si>
    <t>6106020011 - Beban Tunjangan PPh 21 - Komisaris</t>
  </si>
  <si>
    <t>6106020012 - Beban Asuransi Ketenagakerjaan - Direksi</t>
  </si>
  <si>
    <t>6106020013 - Beban Asuransi Ketenagakerjaan - Komisaris</t>
  </si>
  <si>
    <t>6106030000 -  Tunjangan-tunjangan</t>
  </si>
  <si>
    <t>6106030001 - Beban tunjangan operasional - Direksi</t>
  </si>
  <si>
    <t>6106030002 - Beban tunjangan operasional - Komisaris</t>
  </si>
  <si>
    <t>6106030003 - Tunjangan Hari Raya - Direksi</t>
  </si>
  <si>
    <t>6106030004 - Tunjangan Hari Raya - Komisaris</t>
  </si>
  <si>
    <t>6106040000 -  Tantiem</t>
  </si>
  <si>
    <t>6106040001 - Tantiem - Direksi</t>
  </si>
  <si>
    <t>6106040002 - Tantiem - Komisaris</t>
  </si>
  <si>
    <t>6106050000 -  Beban Operasional Pendukung Dewan Komisaris dan Direksi</t>
  </si>
  <si>
    <t>6106050002 - Beban Operasional - Komisaris</t>
  </si>
  <si>
    <t>6107010000 -  Imbalan Pasca Kerja</t>
  </si>
  <si>
    <t>6107010004 - Dana Pensiun</t>
  </si>
  <si>
    <t>6107020000 -  Penghargaan Pengabdian</t>
  </si>
  <si>
    <t>6107020001 - Beban Penghargaan Pengabdian</t>
  </si>
  <si>
    <t>6108010000 -  Beban Persediaan Alat Kantor dan Percetakan</t>
  </si>
  <si>
    <t>6108010001 - Beban Persediaan Alat Kantor dan Percetakan</t>
  </si>
  <si>
    <t>6108020000 -  Beban Persediaan Bahan Bakar (BBM &amp; Pelumas)</t>
  </si>
  <si>
    <t>6108020001 - Beban Persediaan Bahan Bakar dan Pelumas</t>
  </si>
  <si>
    <t>6108030000 -  Beban Persediaan Pemeliharaan</t>
  </si>
  <si>
    <t>6108030002 - Beban Persediaan Pemeliharaan Equipment</t>
  </si>
  <si>
    <t>6108030099 - Beban Persediaan Pemeliharaan Lainnya</t>
  </si>
  <si>
    <t>6110010000 -  Pajak Pemerintah Pusat</t>
  </si>
  <si>
    <t>6110010001 - Beban Denda Pajak Pemerintah Pusat</t>
  </si>
  <si>
    <t>6110020000 -  Pajak Pemerintah Daerah</t>
  </si>
  <si>
    <t>6110020001 - Beban Denda Pajak Pemerintah Daerah</t>
  </si>
  <si>
    <t>6110020003 - Beban Pajak Bumi &amp; Bangunan (PBB)</t>
  </si>
  <si>
    <t>6110020004 - Beban Pajak Kendaraan Bermotor</t>
  </si>
  <si>
    <t>6110020005 - Beban Pajak Reklame</t>
  </si>
  <si>
    <t>6110020006 - Beban Pajak pemerintah daerah lainnya</t>
  </si>
  <si>
    <t>6111010000 -  Beban asuransi aset</t>
  </si>
  <si>
    <t>6111010001 - Beban Asuransi Aset</t>
  </si>
  <si>
    <t>6112010000 -  Pendidikan dan pelatihan</t>
  </si>
  <si>
    <t>6112010001 - Beban Lisensi - Pegawai</t>
  </si>
  <si>
    <t>6112010002 - Beban Pendidikan dan Pelatihan</t>
  </si>
  <si>
    <t>6112020000 -  Beban Team Screening</t>
  </si>
  <si>
    <t>6112020001 - Beban Rekrutmen - Pegawai</t>
  </si>
  <si>
    <t>6113010000 -  Beban perjalanan dinas dalam negeri</t>
  </si>
  <si>
    <t>6113010001 - Beban Perjalanan Dinas - Dalam Negeri</t>
  </si>
  <si>
    <t>6113020000 -  Beban perjalanan dinas luar negeri</t>
  </si>
  <si>
    <t>6113020001 - Beban Perjalanan Dinas - Luar Negeri</t>
  </si>
  <si>
    <t>6113030000 -  Beban transportasi dan akomodasi</t>
  </si>
  <si>
    <t>6113030001 - Beban Transportasi Dan Akomodasi</t>
  </si>
  <si>
    <t>6115010000 -  Jasa Profesional &amp; Konsultan</t>
  </si>
  <si>
    <t>6115010001 - Beban Konsultan Audit</t>
  </si>
  <si>
    <t>6115010002 - Beban Konsultan Hukum</t>
  </si>
  <si>
    <t>6115010003 - Beban Konsultan Keuangan</t>
  </si>
  <si>
    <t>6115010004 - Beban Konsultan Manajemen</t>
  </si>
  <si>
    <t>6115010005 - Beban Konsultan Pajak</t>
  </si>
  <si>
    <t>6115010006 - Beban Konsultan Pemasaran</t>
  </si>
  <si>
    <t>6115010007 - Beban Konsultan Penilai</t>
  </si>
  <si>
    <t>6115010008 - Beban Konsultan Perencanaan</t>
  </si>
  <si>
    <t>6116010000 -  Beban permakanan dan minuman</t>
  </si>
  <si>
    <t>6116010001 - Beban Permakanan dan Minuman</t>
  </si>
  <si>
    <t>6116030000 -  Pos dan Materai</t>
  </si>
  <si>
    <t>6116030001 - Beban Pos dan Materai</t>
  </si>
  <si>
    <t>6119010000 -  Beban Tenaga Penunjang</t>
  </si>
  <si>
    <t>6119010001 - Beban Tenaga Penunjang Administrasi</t>
  </si>
  <si>
    <t>6119010002 - Beban Tenaga Penunjang Operasional</t>
  </si>
  <si>
    <t>6120060000 -  Kerugian (pemulihan) penurunan nilai piutang usaha</t>
  </si>
  <si>
    <t>6120060001 - Kerugian (pemulihan) penurunan nilai piutang usaha</t>
  </si>
  <si>
    <t>6199010000 -  Beban Penelitian dan Pengembangan</t>
  </si>
  <si>
    <t>6199010001 - Beban Penelitian</t>
  </si>
  <si>
    <t>6199010002 - Beban Pengembangan</t>
  </si>
  <si>
    <t>6199020000 -  Sosial, Olahraga &amp; Binrohmas</t>
  </si>
  <si>
    <t>6199020001 - Beban Sosial, Olahraga, dan Binrohmas</t>
  </si>
  <si>
    <t>6199030000 -  Kegiatan Acara Seremonial</t>
  </si>
  <si>
    <t>6199030001 - Beban Kegiatan Acara Seremonial</t>
  </si>
  <si>
    <t>6199040000 -  Kegiatan Organisasi</t>
  </si>
  <si>
    <t>6199040001 - Beban Kegiatan Organisasi</t>
  </si>
  <si>
    <t>6199080000 -  Beban Honor Tim Eksternal</t>
  </si>
  <si>
    <t>6199080001 - Beban Honor Tim Eksternal</t>
  </si>
  <si>
    <t>6199090000 -  Beban Operasional dan Pengelolaan</t>
  </si>
  <si>
    <t>6199090001 - Beban Keamanan dan Pengelolaan Lingkungan</t>
  </si>
  <si>
    <t>6199090002 - Beban Pemeliharaan Satwa</t>
  </si>
  <si>
    <t>6199090003 - Beban Studi &amp; Analisis Lingkungan</t>
  </si>
  <si>
    <t>6199990000 -  Lainnya</t>
  </si>
  <si>
    <t>6199990003 - Beban Umum dan Administrasi Lain-Lain</t>
  </si>
  <si>
    <t>6201010000 -  Promosi dan Event</t>
  </si>
  <si>
    <t>6201010001 - Beban Event</t>
  </si>
  <si>
    <t>6201010002 - Beban Promosi dan Publikasi</t>
  </si>
  <si>
    <t>6201020000 -  Sponsorship</t>
  </si>
  <si>
    <t>6201020001 - Beban Sponsorship</t>
  </si>
  <si>
    <t>6201040000 -  Hubungan masyarakat (Public Relation)</t>
  </si>
  <si>
    <t>6201040001 - Hubungan masyarakat (Public Relation)</t>
  </si>
  <si>
    <t>6301040000 -  Kerugian penurunan nilai atas investasi pada anak perusahaan</t>
  </si>
  <si>
    <t>6301040001 - Kerugian penurunan nilai atas investasi pada anak perusahaan</t>
  </si>
  <si>
    <t>6303020000 -  Rugi selisih kurs - belum direalisasi</t>
  </si>
  <si>
    <t>6303020001 - Rugi selisih kurs - belum direalisasi</t>
  </si>
  <si>
    <t>6399010000 -  Beban laporan, dokumentasi, dan publikasi</t>
  </si>
  <si>
    <t>6399010001 - Beban laporan, dokumentasi, dan publikasi</t>
  </si>
  <si>
    <t>6399090000 -  Beban Corporate Social Responsibility (CSR) / TJSL / PKBL</t>
  </si>
  <si>
    <t>6399090001 - Beban operasional TJSL - bina lingkungan</t>
  </si>
  <si>
    <t>6399110000 -  Koran dan Majalah</t>
  </si>
  <si>
    <t>6399110001 - Beban Koran dan Majalah</t>
  </si>
  <si>
    <t>6399120000 -  Beban provisi</t>
  </si>
  <si>
    <t>6399120001 - Beban provisi</t>
  </si>
  <si>
    <t>6399990000 -  Beban usaha lainnya</t>
  </si>
  <si>
    <t>6399990001 - Beban usaha lainnya</t>
  </si>
  <si>
    <t>6499010000 -  Pendapatan denda</t>
  </si>
  <si>
    <t>6499010001 - Pendapatan denda</t>
  </si>
  <si>
    <t>6499120000 -  Pendapatan royalti</t>
  </si>
  <si>
    <t>6499120001 - Pendapatan royalti</t>
  </si>
  <si>
    <t>6499990000 -  Pendapatan usaha lainnya</t>
  </si>
  <si>
    <t>6499990001 - Pendapatan usaha lainnya</t>
  </si>
  <si>
    <t>7102010000 -  Pendapatan bunga jasa giro - pihak berelasi</t>
  </si>
  <si>
    <t>7102010001 - Pendapatan bunga jasa giro - Pihak berelasi</t>
  </si>
  <si>
    <t>7102010002 - Pendapatan bunga jasa giro PMN - Pihak berelasi</t>
  </si>
  <si>
    <t>7102020000 -  Pendapatan bunga jasa giro - pihak ketiga</t>
  </si>
  <si>
    <t>7102020001 - Pendapatan bunga jasa giro - Pihak ketiga</t>
  </si>
  <si>
    <t>7102020002 - Pendapatan bunga jasa giro PMN - Pihak ketiga</t>
  </si>
  <si>
    <t>7102100000 -  Pendapatan bunga tabungan - pihak berelasi</t>
  </si>
  <si>
    <t>7102100001 - Pendapatan bunga tabungan - Pihak berelasi</t>
  </si>
  <si>
    <t>7102110000 -  Pendapatan bunga tabungan - pihak ketiga</t>
  </si>
  <si>
    <t>7102110001 - Pendapatan bunga tabungan - Pihak ketiga</t>
  </si>
  <si>
    <t>7102200000 -  Pendapatan bunga dari deposito berjangka - pihak berelasi</t>
  </si>
  <si>
    <t>7102200001 - Pendapatan bunga deposito - Pihak berelasi</t>
  </si>
  <si>
    <t>7102210000 -  Pendapatan bunga dari deposito berjangka - pihak ketiga</t>
  </si>
  <si>
    <t>7102210001 - Pendapatan bunga deposito - Pihak ketiga</t>
  </si>
  <si>
    <t>7102320000 -  Pendapatan bunga - investasi aset keuangan pada nilai wajar melalui laba rugi - pihak berelasi lainnya</t>
  </si>
  <si>
    <t>7102320001 - Pendapatan bunga - investasi aset keuangan surat berharga pada nilai wajar melalui laba rugi - Pihak berelasi lainnya</t>
  </si>
  <si>
    <t>7202010000 -  Beban bunga dari pinjaman bank dan LK non-bank - fasilitas jangka pendek - pihak berelasi</t>
  </si>
  <si>
    <t>7202010001 - Beban bunga dari pinjaman bank dan LK non-bank - fasilitas jangka pendek - Pihak berelasi</t>
  </si>
  <si>
    <t>7202020000 -  Beban bunga dari pinjaman bank dan LK non-bank - fasilitas jangka pendek - pihak ketiga</t>
  </si>
  <si>
    <t>7202020001 - Beban bunga dari pinjaman bank dan LK non-bank - fasilitas jangka pendek - Pihak ketiga</t>
  </si>
  <si>
    <t>7202030000 -  Beban bunga dari pinjaman bank dan LK non-bank - fasilitas jangka panjang - pihak berelasi</t>
  </si>
  <si>
    <t>7202030001 - Beban bunga dari pinjaman bank dan LK non-bank - fasilitas jangka panjang - Pihak berelasi</t>
  </si>
  <si>
    <t>7202040000 -  Beban bunga dari pinjaman bank dan LK non-bank - fasilitas jangka panjang - pihak ketiga</t>
  </si>
  <si>
    <t>7202040001 - Beban bunga dari pinjaman bank dan LK non-bank - fasilitas jangka panjang - Pihak ketiga</t>
  </si>
  <si>
    <t>7202410000 -  Beban bunga dari liabilitas sewa atas aset hak guna</t>
  </si>
  <si>
    <t>7202410001 - Beban bunga dari liabilitas sewa atas aset hak guna</t>
  </si>
  <si>
    <t>7202510000 -  Beban bunga dari pinjaman dari pihak berelasi intra group InJourney</t>
  </si>
  <si>
    <t>7202510001 - Beban bunga dari pinjaman dari Pihak Berelasi - Intragroup Injourney</t>
  </si>
  <si>
    <t>7299010000 -  Beban administrasi bank</t>
  </si>
  <si>
    <t>7299010001 - Beban administrasi bank</t>
  </si>
  <si>
    <t>7299040000 -  Beban pendanaan</t>
  </si>
  <si>
    <t>7299040001 - Beban pengurusan pendanaan</t>
  </si>
  <si>
    <t>7501010000 -  PPh pasal 4(2)</t>
  </si>
  <si>
    <t>7501010001 - Beban PPh Pasal 4 ayat 2</t>
  </si>
  <si>
    <t>7601010000 -  Pajak kini</t>
  </si>
  <si>
    <t>7601010001 - Pajak kini</t>
  </si>
  <si>
    <t>7602010000 -  Pajak tangguhan</t>
  </si>
  <si>
    <t>7602010001 - Pajak tangguhan</t>
  </si>
  <si>
    <t>8101010000 -  Pengukuran kembali kewajiban imbalan pascakerja, setelah dampak pajak</t>
  </si>
  <si>
    <t>8101010001 - Pengukuran kembali kewajiban imbalan pascakerja, setelah dampak pajak</t>
  </si>
  <si>
    <t>8102010000 -  Perubahan nilai wajar aset keuangan pada nilai wajar melalui penghasilan komprehensif lain, setelah dampak pajak</t>
  </si>
  <si>
    <t>8102010001 - Perubahan nilai wajar aset keuangan pada nilai wajar melalui penghasilan komprehensif lain, setelah dampak pajak</t>
  </si>
  <si>
    <t>8103010000 -  Bagian rugi (penghasilan) komprehensif lain dari investasi pada entitas asosiasi dan ventura bersama, setelah dampak pajak</t>
  </si>
  <si>
    <t>8103010001 - Bagian rugi (penghasilan) komprehensif lain dari investasi pada entitas asosiasi dan ventura bersama, setelah dampak pajak</t>
  </si>
  <si>
    <t>8201010000 -  Perubahan nilai wajar aset keuangan pada nilai wajar melalui penghasilan komprehensif lain, setelah dampak pajak</t>
  </si>
  <si>
    <t>8201010001 - Perubahan nilai wajar aset keuangan pada nilai wajar melalui penghasilan komprehensif lain, setelah dampak pajak</t>
  </si>
  <si>
    <t>8202010000 -  Perubahan nilai wajar pada lindung nilai arus kas, setelah dampak pajak</t>
  </si>
  <si>
    <t>8202010001 - Perubahan nilai wajar pada lindung nilai arus kas, setelah dampak pajak</t>
  </si>
  <si>
    <t>8203010000 -  Bagian rugi (penghasilan) komprehensif lain dari investasi pada entitas asosiasi dan ventura bersama, setelah dampak pajak</t>
  </si>
  <si>
    <t>8203010001 - Bagian rugi (penghasilan) komprehensif lain dari investasi pada entitas asosiasi dan ventura bersama, setelah dampak pajak</t>
  </si>
  <si>
    <t>8204010000 -  Selisih kurs penjabaran laporan keuangan, setelah dampak pajak</t>
  </si>
  <si>
    <t>8204010001 - Selisih kurs penjabaran laporan keuangan, setelah dampak pajak</t>
  </si>
  <si>
    <t>Kas dan Setara Kas</t>
  </si>
  <si>
    <t>Kas dan setara kas yang dibatasi penggunaannya</t>
  </si>
  <si>
    <t>Piutang usaha - Pihak Berelasi</t>
  </si>
  <si>
    <t>Piutang usaha - Pihak Ketiga</t>
  </si>
  <si>
    <t>Biaya dibayar dimuka dan uang muka</t>
  </si>
  <si>
    <t>Piutang lain-lain - Pihak Ketiga</t>
  </si>
  <si>
    <t>Investasi jangka panjang</t>
  </si>
  <si>
    <t>Aset Pajak Tangguhan</t>
  </si>
  <si>
    <t>Properti investasi</t>
  </si>
  <si>
    <t>Aset tetap</t>
  </si>
  <si>
    <t>Aset hak guna</t>
  </si>
  <si>
    <t>Aset takberwujud</t>
  </si>
  <si>
    <t>Aset tidak lancar lainnya</t>
  </si>
  <si>
    <t xml:space="preserve"> Pendapatan Usaha</t>
  </si>
  <si>
    <t>Perhotelan &amp; Manajemen Perjalanan - Kamar</t>
  </si>
  <si>
    <t>H</t>
  </si>
  <si>
    <t>I</t>
  </si>
  <si>
    <t xml:space="preserve"> Kas dan setara kas yang dibatasi penggunaannya</t>
  </si>
  <si>
    <t>Piutang lain-lain - pihak ketiga</t>
  </si>
  <si>
    <t>Persediaan - Pendapatan</t>
  </si>
  <si>
    <t>Pendapatan yang Masih Harus Diterima</t>
  </si>
  <si>
    <t>Pajak dibayar dimuka</t>
  </si>
  <si>
    <t>Utang usaha - Pihak Berelasi</t>
  </si>
  <si>
    <t>Utang usaha - Pihak Ketiga</t>
  </si>
  <si>
    <t>Pendapatan Diterima Dimuka</t>
  </si>
  <si>
    <t>Beban akrual - pihak berelasi - Intragroup InJourney</t>
  </si>
  <si>
    <t>Beban akrual - pihak berelasi - lainnya</t>
  </si>
  <si>
    <t>Beban akrual - pihak ketiga</t>
  </si>
  <si>
    <t>Utang pajak</t>
  </si>
  <si>
    <t>Liabilitas imbalan kerja jangka pendek</t>
  </si>
  <si>
    <t>Pinjaman dari pihak berelasi Intragroup InJourney - jangka pendek</t>
  </si>
  <si>
    <t>Porsi jangka pendek utang bank dan LK non-bank jangka panjang</t>
  </si>
  <si>
    <t>Porsi jangka pendek liabilitas sewa</t>
  </si>
  <si>
    <t>Liabilitas jangka pendek lainnya</t>
  </si>
  <si>
    <t>Pendapatan Diterima Dimuka Jangka Panjang</t>
  </si>
  <si>
    <t>Liabilitas imbalan kerja jangka panjang</t>
  </si>
  <si>
    <t>Porsi jangka panjang - utang bank dan LK non-bank jangka panjang</t>
  </si>
  <si>
    <t>Porsi jangka panjang - liabilitas sewa</t>
  </si>
  <si>
    <t>Liabilitas pajak tangguhan</t>
  </si>
  <si>
    <t>Modal saham</t>
  </si>
  <si>
    <t>Komponen ekuitas lainnya</t>
  </si>
  <si>
    <t>Saldo laba dicadangkan</t>
  </si>
  <si>
    <t>Saldo laba belum dicadangkan</t>
  </si>
  <si>
    <t>Komponen ekuitas lainnya: Penghasilan/Rugi Komprehensif</t>
  </si>
  <si>
    <t>Kepentingan non-pengendali</t>
  </si>
  <si>
    <t>Operator Atraksi - Fasilitas</t>
  </si>
  <si>
    <t>Operator Atraksi - Event Organiser</t>
  </si>
  <si>
    <t>Operator Atraksi - Pendapatan Usaha Lainnya</t>
  </si>
  <si>
    <t>Pengembang Kawasan Wisata - Operasional Property</t>
  </si>
  <si>
    <t>Pengembang Kawasan Wisata - Utility Charge</t>
  </si>
  <si>
    <t>Pengembang Kawasan Wisata - Bahan Bakar</t>
  </si>
  <si>
    <t>Pengembang Kawasan Wisata - Optimalisasi Lahan</t>
  </si>
  <si>
    <t>Pengembang Kawasan Wisata - Real Estate Sale</t>
  </si>
  <si>
    <t>Pengembang Kawasan Wisata - Pendapatan Management Fee</t>
  </si>
  <si>
    <t>Perhotelan &amp; Manajemen Perjalanan - Pendapatan Non-Kamar - Food &amp; Beverages</t>
  </si>
  <si>
    <t>Perhotelan &amp; Manajemen Perjalanan - Pendapatan Non-Kamar - Fasilitas Hotel Lainnya</t>
  </si>
  <si>
    <t>Pengembang Kawasan Wisata - Sewa</t>
  </si>
  <si>
    <t>Pengembang Kawasan Wisata - Revenue Sharing</t>
  </si>
  <si>
    <t>Pengembang Kawasan Wisata - Lainnya</t>
  </si>
  <si>
    <t>Pengembang Kawasan Wisata - Beban Pokok Pendapatan Management Fee</t>
  </si>
  <si>
    <t>Perhotelan &amp; Manajemen Perjalanan - Management Fee</t>
  </si>
  <si>
    <t xml:space="preserve"> Beban Pegawai</t>
  </si>
  <si>
    <t>Pemeliharaan dan perbaikan</t>
  </si>
  <si>
    <t>Beban Utilitas</t>
  </si>
  <si>
    <t xml:space="preserve"> Sewa</t>
  </si>
  <si>
    <t>Depresiasi dan amortisasi</t>
  </si>
  <si>
    <t>Beban pejabat non-pegawai</t>
  </si>
  <si>
    <t>Beban imbalan pasca kerja</t>
  </si>
  <si>
    <t>Persediaan - Umum dan Administrasi</t>
  </si>
  <si>
    <t>Pajak dan retribusi pemerintah lainnya</t>
  </si>
  <si>
    <t>Beban Asuransi</t>
  </si>
  <si>
    <t>Pendidikan dan Pelatihan</t>
  </si>
  <si>
    <t>Beban perjalanan dinas</t>
  </si>
  <si>
    <t>Beban Jasa Profesional &amp; Konsultan</t>
  </si>
  <si>
    <t>Beban keperluan internal</t>
  </si>
  <si>
    <t>Beban keperluan eksternal</t>
  </si>
  <si>
    <t>Kerugian (pemulihan) penurunan nilai aset</t>
  </si>
  <si>
    <t>Beban umum lainnya</t>
  </si>
  <si>
    <t>Beban promosi atau pemasaran</t>
  </si>
  <si>
    <t>Kerugian penurunan nilai</t>
  </si>
  <si>
    <t>Rugi selisih kurs</t>
  </si>
  <si>
    <t>Pendapatan bunga - kontraktual</t>
  </si>
  <si>
    <t>Beban bunga - kontraktual</t>
  </si>
  <si>
    <t>Lain-lain</t>
  </si>
  <si>
    <t xml:space="preserve"> Pajak final</t>
  </si>
  <si>
    <t>Pajak kini</t>
  </si>
  <si>
    <t xml:space="preserve"> Pajak tangguhan</t>
  </si>
  <si>
    <t>Pengukuran kembali kewajiban imbalan pascakerja, setelah dampak pajak</t>
  </si>
  <si>
    <t>Perubahan nilai wajar aset keuangan pada nilai wajar melalui penghasilan komprehensif lain, setelah dampak pajak</t>
  </si>
  <si>
    <t>Bagian rugi (penghasilan) komprehensif lain dari investasi pada entitas asosiasi dan ventura bersama, setelah dampak pajak</t>
  </si>
  <si>
    <t>Perubahan nilai wajar pada lindung nilai arus kas, setelah dampak pajak</t>
  </si>
  <si>
    <t>Selisih kurs penjabaran laporan keuangan, setelah dampak pajak</t>
  </si>
  <si>
    <t xml:space="preserve"> Liabilitas jangka panjang</t>
  </si>
  <si>
    <t xml:space="preserve"> Pendapatan keuangan</t>
  </si>
  <si>
    <t>AND ma.main_account_id IN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</si>
</sst>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entury Gothic"/>
      <family val="2"/>
    </font>
    <font>
      <sz val="10"/>
      <color indexed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2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horizontal="left" wrapText="1" indent="2"/>
    </xf>
    <xf numFmtId="0" fontId="0" fillId="0" borderId="0" xfId="0"/>
    <xf numFmtId="0" fontId="2" fillId="0" borderId="1" xfId="0" applyFont="1" applyBorder="1" applyAlignment="1">
      <alignment horizontal="left" wrapText="1" indent="3"/>
    </xf>
    <xf numFmtId="0" fontId="3" fillId="0" borderId="1" xfId="0" applyFont="1" applyBorder="1" applyAlignment="1">
      <alignment horizontal="left" wrapText="1" indent="4"/>
    </xf>
    <xf numFmtId="0" fontId="3" fillId="0" borderId="1" xfId="0" applyFont="1" applyBorder="1" applyAlignment="1">
      <alignment horizontal="left" wrapText="1" indent="5"/>
    </xf>
    <xf numFmtId="0" fontId="0" fillId="0" borderId="0" xfId="0" applyAlignment="1">
      <alignment wrapText="1"/>
    </xf>
    <xf numFmtId="0" fontId="0" fillId="0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A284-ED98-45FF-AC35-07B15FC38272}">
  <dimension ref="A1:N798"/>
  <sheetViews>
    <sheetView tabSelected="1" topLeftCell="A794" zoomScale="85" workbookViewId="0">
      <pane xSplit="4" topLeftCell="J1" activePane="topRight" state="frozen"/>
      <selection pane="topRight" activeCell="M805" sqref="M805"/>
    </sheetView>
  </sheetViews>
  <sheetFormatPr defaultRowHeight="15.6" x14ac:dyDescent="0.3"/>
  <cols>
    <col min="3" max="3" width="25" bestFit="1" customWidth="1"/>
    <col min="4" max="4" width="40.59765625" bestFit="1" customWidth="1"/>
    <col min="5" max="5" width="24" customWidth="1"/>
    <col min="6" max="6" width="23.5" style="9" customWidth="1"/>
    <col min="8" max="8" width="9.5" bestFit="1" customWidth="1"/>
    <col min="9" max="9" width="26.19921875" customWidth="1"/>
    <col min="10" max="10" width="17.69921875" customWidth="1"/>
    <col min="13" max="13" width="25.09765625" style="8" bestFit="1" customWidth="1"/>
  </cols>
  <sheetData>
    <row r="1" spans="1:14" x14ac:dyDescent="0.3">
      <c r="A1" t="s">
        <v>0</v>
      </c>
      <c r="C1" t="s">
        <v>1</v>
      </c>
      <c r="D1" t="s">
        <v>2</v>
      </c>
      <c r="E1" t="s">
        <v>3</v>
      </c>
      <c r="F1" s="9" t="s">
        <v>4</v>
      </c>
      <c r="G1" t="s">
        <v>5</v>
      </c>
      <c r="H1" t="s">
        <v>6</v>
      </c>
      <c r="J1" t="s">
        <v>7</v>
      </c>
      <c r="L1" t="s">
        <v>8</v>
      </c>
      <c r="M1" s="8" t="s">
        <v>9</v>
      </c>
    </row>
    <row r="3" spans="1:14" x14ac:dyDescent="0.3">
      <c r="N3" t="str">
        <f>"INSERT INTO erp_itdc_coa_restructure.rpt_captions (id, report_code, report_name, name, `group`, sub_group, `order`, numbering, mapping, `number`, sub_group2, is_bold, is_italic) VALUES"</f>
        <v>INSERT INTO erp_itdc_coa_restructure.rpt_captions (id, report_code, report_name, name, `group`, sub_group, `order`, numbering, mapping, `number`, sub_group2, is_bold, is_italic) VALUES</v>
      </c>
    </row>
    <row r="4" spans="1:14" x14ac:dyDescent="0.3">
      <c r="A4">
        <v>1000</v>
      </c>
      <c r="B4" t="s">
        <v>177</v>
      </c>
      <c r="C4" t="s">
        <v>178</v>
      </c>
      <c r="D4" s="2" t="s">
        <v>111</v>
      </c>
      <c r="E4" t="s">
        <v>13</v>
      </c>
      <c r="F4" s="9" t="s">
        <v>13</v>
      </c>
      <c r="G4">
        <v>1</v>
      </c>
      <c r="H4" s="4">
        <v>1</v>
      </c>
      <c r="I4" t="s">
        <v>934</v>
      </c>
      <c r="J4" s="4" t="str">
        <f t="shared" ref="J4:J67" si="0">_xlfn.TEXTBEFORE(D4," -")</f>
        <v>1000000000</v>
      </c>
      <c r="K4" s="1" t="s">
        <v>12</v>
      </c>
      <c r="L4" t="s">
        <v>11</v>
      </c>
      <c r="M4" s="8" t="s">
        <v>13</v>
      </c>
      <c r="N4" t="str">
        <f>"('"&amp;A4&amp;"','"&amp;B4&amp;"', '"&amp;C4&amp;"', '"&amp;D4&amp;"', '"&amp;E4&amp;"', '"&amp;F4&amp;"', '"&amp;G4&amp;"', '"&amp;H4&amp;"', '"&amp;I4&amp;J4&amp;K4&amp;"', '"&amp;L4&amp;"', '"&amp;M4&amp;"', 0, 0),"</f>
        <v>('1000','RPT_009', 'LabaTrialBalance3rdSegment', '1000000000 - Aset', 'Aset', 'Aset', '1', '1', 'AND ma.main_account_id IN (1000000000)', 'A', 'Aset', 0, 0),</v>
      </c>
    </row>
    <row r="5" spans="1:14" x14ac:dyDescent="0.3">
      <c r="A5">
        <v>1001</v>
      </c>
      <c r="B5" t="s">
        <v>177</v>
      </c>
      <c r="C5" t="s">
        <v>178</v>
      </c>
      <c r="D5" s="3" t="s">
        <v>112</v>
      </c>
      <c r="E5" s="4" t="s">
        <v>13</v>
      </c>
      <c r="F5" s="9" t="s">
        <v>10</v>
      </c>
      <c r="G5">
        <v>2</v>
      </c>
      <c r="H5" s="4">
        <v>2</v>
      </c>
      <c r="I5" s="4" t="s">
        <v>934</v>
      </c>
      <c r="J5" s="4" t="str">
        <f t="shared" si="0"/>
        <v>1100000000</v>
      </c>
      <c r="K5" s="1" t="s">
        <v>12</v>
      </c>
      <c r="L5" s="4" t="s">
        <v>11</v>
      </c>
      <c r="M5" s="9" t="s">
        <v>10</v>
      </c>
      <c r="N5" s="4" t="str">
        <f t="shared" ref="N5:N68" si="1">"('"&amp;A5&amp;"','"&amp;B5&amp;"', '"&amp;C5&amp;"', '"&amp;D5&amp;"', '"&amp;E5&amp;"', '"&amp;F5&amp;"', '"&amp;G5&amp;"', '"&amp;H5&amp;"', '"&amp;I5&amp;J5&amp;K5&amp;"', '"&amp;L5&amp;"', '"&amp;M5&amp;"', 0, 0),"</f>
        <v>('1001','RPT_009', 'LabaTrialBalance3rdSegment', '1100000000 - Aset Lancar', 'Aset', 'Aset Lancar', '2', '2', 'AND ma.main_account_id IN (1100000000)', 'A', 'Aset Lancar', 0, 0),</v>
      </c>
    </row>
    <row r="6" spans="1:14" x14ac:dyDescent="0.3">
      <c r="A6">
        <v>1002</v>
      </c>
      <c r="B6" t="s">
        <v>177</v>
      </c>
      <c r="C6" t="s">
        <v>178</v>
      </c>
      <c r="D6" s="5" t="s">
        <v>113</v>
      </c>
      <c r="E6" s="4" t="s">
        <v>13</v>
      </c>
      <c r="F6" s="9" t="s">
        <v>10</v>
      </c>
      <c r="G6">
        <v>3</v>
      </c>
      <c r="H6" s="4">
        <v>3</v>
      </c>
      <c r="I6" s="4" t="s">
        <v>934</v>
      </c>
      <c r="J6" s="4" t="str">
        <f t="shared" si="0"/>
        <v>1101000000</v>
      </c>
      <c r="K6" s="1" t="s">
        <v>12</v>
      </c>
      <c r="L6" s="4" t="s">
        <v>11</v>
      </c>
      <c r="M6" s="8" t="s">
        <v>840</v>
      </c>
      <c r="N6" s="4" t="str">
        <f t="shared" si="1"/>
        <v>('1002','RPT_009', 'LabaTrialBalance3rdSegment', '1101000000 -  Kas dan Setara Kas', 'Aset', 'Aset Lancar', '3', '3', 'AND ma.main_account_id IN (1101000000)', 'A', 'Kas dan Setara Kas', 0, 0),</v>
      </c>
    </row>
    <row r="7" spans="1:14" x14ac:dyDescent="0.3">
      <c r="A7">
        <v>1003</v>
      </c>
      <c r="B7" t="s">
        <v>177</v>
      </c>
      <c r="C7" t="s">
        <v>178</v>
      </c>
      <c r="D7" s="6" t="s">
        <v>179</v>
      </c>
      <c r="E7" s="4" t="s">
        <v>13</v>
      </c>
      <c r="F7" s="9" t="s">
        <v>10</v>
      </c>
      <c r="G7">
        <v>4</v>
      </c>
      <c r="H7" s="4">
        <v>4</v>
      </c>
      <c r="I7" s="4" t="s">
        <v>934</v>
      </c>
      <c r="J7" s="4" t="str">
        <f t="shared" si="0"/>
        <v>1101010000</v>
      </c>
      <c r="K7" s="1" t="s">
        <v>12</v>
      </c>
      <c r="L7" s="4" t="s">
        <v>11</v>
      </c>
      <c r="M7" s="8" t="s">
        <v>840</v>
      </c>
      <c r="N7" s="4" t="str">
        <f t="shared" si="1"/>
        <v>('1003','RPT_009', 'LabaTrialBalance3rdSegment', '1101010000 -  Kas Kecil', 'Aset', 'Aset Lancar', '4', '4', 'AND ma.main_account_id IN (1101010000)', 'A', 'Kas dan Setara Kas', 0, 0),</v>
      </c>
    </row>
    <row r="8" spans="1:14" x14ac:dyDescent="0.3">
      <c r="A8">
        <v>1004</v>
      </c>
      <c r="B8" t="s">
        <v>177</v>
      </c>
      <c r="C8" t="s">
        <v>178</v>
      </c>
      <c r="D8" s="7" t="s">
        <v>180</v>
      </c>
      <c r="E8" s="4" t="s">
        <v>13</v>
      </c>
      <c r="F8" s="9" t="s">
        <v>10</v>
      </c>
      <c r="G8">
        <v>5</v>
      </c>
      <c r="H8" s="4">
        <v>5</v>
      </c>
      <c r="I8" s="4" t="s">
        <v>934</v>
      </c>
      <c r="J8" s="4" t="str">
        <f t="shared" si="0"/>
        <v>1101010001</v>
      </c>
      <c r="K8" s="1" t="s">
        <v>12</v>
      </c>
      <c r="L8" s="4" t="s">
        <v>11</v>
      </c>
      <c r="M8" s="8" t="s">
        <v>840</v>
      </c>
      <c r="N8" s="4" t="str">
        <f t="shared" si="1"/>
        <v>('1004','RPT_009', 'LabaTrialBalance3rdSegment', '1101010001 - Kas Kecil - IDR', 'Aset', 'Aset Lancar', '5', '5', 'AND ma.main_account_id IN (1101010001)', 'A', 'Kas dan Setara Kas', 0, 0),</v>
      </c>
    </row>
    <row r="9" spans="1:14" x14ac:dyDescent="0.3">
      <c r="A9">
        <v>1005</v>
      </c>
      <c r="B9" t="s">
        <v>177</v>
      </c>
      <c r="C9" t="s">
        <v>178</v>
      </c>
      <c r="D9" s="7" t="s">
        <v>181</v>
      </c>
      <c r="E9" s="4" t="s">
        <v>13</v>
      </c>
      <c r="F9" s="9" t="s">
        <v>10</v>
      </c>
      <c r="G9">
        <v>6</v>
      </c>
      <c r="H9" s="4">
        <v>6</v>
      </c>
      <c r="I9" s="4" t="s">
        <v>934</v>
      </c>
      <c r="J9" s="4" t="str">
        <f t="shared" si="0"/>
        <v>1101010002</v>
      </c>
      <c r="K9" s="1" t="s">
        <v>12</v>
      </c>
      <c r="L9" s="4" t="s">
        <v>11</v>
      </c>
      <c r="M9" s="8" t="s">
        <v>840</v>
      </c>
      <c r="N9" s="4" t="str">
        <f t="shared" si="1"/>
        <v>('1005','RPT_009', 'LabaTrialBalance3rdSegment', '1101010002 - Kas Kecil - USD', 'Aset', 'Aset Lancar', '6', '6', 'AND ma.main_account_id IN (1101010002)', 'A', 'Kas dan Setara Kas', 0, 0),</v>
      </c>
    </row>
    <row r="10" spans="1:14" x14ac:dyDescent="0.3">
      <c r="A10">
        <v>1006</v>
      </c>
      <c r="B10" t="s">
        <v>177</v>
      </c>
      <c r="C10" t="s">
        <v>178</v>
      </c>
      <c r="D10" s="7" t="s">
        <v>182</v>
      </c>
      <c r="E10" s="4" t="s">
        <v>13</v>
      </c>
      <c r="F10" s="9" t="s">
        <v>10</v>
      </c>
      <c r="G10">
        <v>7</v>
      </c>
      <c r="H10" s="4">
        <v>7</v>
      </c>
      <c r="I10" s="4" t="s">
        <v>934</v>
      </c>
      <c r="J10" s="4" t="str">
        <f t="shared" si="0"/>
        <v>1101010003</v>
      </c>
      <c r="K10" s="1" t="s">
        <v>12</v>
      </c>
      <c r="L10" s="4" t="s">
        <v>11</v>
      </c>
      <c r="M10" s="8" t="s">
        <v>840</v>
      </c>
      <c r="N10" s="4" t="str">
        <f t="shared" si="1"/>
        <v>('1006','RPT_009', 'LabaTrialBalance3rdSegment', '1101010003 - Kas Kecil - EUR', 'Aset', 'Aset Lancar', '7', '7', 'AND ma.main_account_id IN (1101010003)', 'A', 'Kas dan Setara Kas', 0, 0),</v>
      </c>
    </row>
    <row r="11" spans="1:14" x14ac:dyDescent="0.3">
      <c r="A11">
        <v>1007</v>
      </c>
      <c r="B11" t="s">
        <v>177</v>
      </c>
      <c r="C11" t="s">
        <v>178</v>
      </c>
      <c r="D11" s="7" t="s">
        <v>183</v>
      </c>
      <c r="E11" s="4" t="s">
        <v>13</v>
      </c>
      <c r="F11" s="9" t="s">
        <v>10</v>
      </c>
      <c r="G11">
        <v>8</v>
      </c>
      <c r="H11" s="4">
        <v>8</v>
      </c>
      <c r="I11" s="4" t="s">
        <v>934</v>
      </c>
      <c r="J11" s="4" t="str">
        <f t="shared" si="0"/>
        <v>1101010004</v>
      </c>
      <c r="K11" s="1" t="s">
        <v>12</v>
      </c>
      <c r="L11" s="4" t="s">
        <v>11</v>
      </c>
      <c r="M11" s="8" t="s">
        <v>840</v>
      </c>
      <c r="N11" s="4" t="str">
        <f t="shared" si="1"/>
        <v>('1007','RPT_009', 'LabaTrialBalance3rdSegment', '1101010004 - Kas Kecil - SGD', 'Aset', 'Aset Lancar', '8', '8', 'AND ma.main_account_id IN (1101010004)', 'A', 'Kas dan Setara Kas', 0, 0),</v>
      </c>
    </row>
    <row r="12" spans="1:14" ht="27" x14ac:dyDescent="0.3">
      <c r="A12">
        <v>1008</v>
      </c>
      <c r="B12" t="s">
        <v>177</v>
      </c>
      <c r="C12" t="s">
        <v>178</v>
      </c>
      <c r="D12" s="7" t="s">
        <v>184</v>
      </c>
      <c r="E12" s="4" t="s">
        <v>13</v>
      </c>
      <c r="F12" s="9" t="s">
        <v>10</v>
      </c>
      <c r="G12">
        <v>9</v>
      </c>
      <c r="H12" s="4">
        <v>9</v>
      </c>
      <c r="I12" s="4" t="s">
        <v>934</v>
      </c>
      <c r="J12" t="str">
        <f>_xlfn.TEXTBEFORE(D12," -")</f>
        <v>1101010005</v>
      </c>
      <c r="K12" s="1" t="s">
        <v>12</v>
      </c>
      <c r="L12" s="4" t="s">
        <v>11</v>
      </c>
      <c r="M12" s="8" t="s">
        <v>840</v>
      </c>
      <c r="N12" s="4" t="str">
        <f t="shared" si="1"/>
        <v>('1008','RPT_009', 'LabaTrialBalance3rdSegment', '1101010005 - Kas Kecil - Kas Dalam Perjalanan', 'Aset', 'Aset Lancar', '9', '9', 'AND ma.main_account_id IN (1101010005)', 'A', 'Kas dan Setara Kas', 0, 0),</v>
      </c>
    </row>
    <row r="13" spans="1:14" x14ac:dyDescent="0.3">
      <c r="A13">
        <v>1009</v>
      </c>
      <c r="B13" t="s">
        <v>177</v>
      </c>
      <c r="C13" t="s">
        <v>178</v>
      </c>
      <c r="D13" s="6" t="s">
        <v>185</v>
      </c>
      <c r="E13" s="4" t="s">
        <v>13</v>
      </c>
      <c r="F13" s="9" t="s">
        <v>10</v>
      </c>
      <c r="G13">
        <v>10</v>
      </c>
      <c r="H13" s="4">
        <v>10</v>
      </c>
      <c r="I13" s="4" t="s">
        <v>934</v>
      </c>
      <c r="J13" s="4" t="str">
        <f t="shared" si="0"/>
        <v>1101020000</v>
      </c>
      <c r="K13" s="1" t="s">
        <v>12</v>
      </c>
      <c r="L13" s="4" t="s">
        <v>11</v>
      </c>
      <c r="M13" s="8" t="s">
        <v>840</v>
      </c>
      <c r="N13" s="4" t="str">
        <f t="shared" si="1"/>
        <v>('1009','RPT_009', 'LabaTrialBalance3rdSegment', '1101020000 -  Kas Operasional', 'Aset', 'Aset Lancar', '10', '10', 'AND ma.main_account_id IN (1101020000)', 'A', 'Kas dan Setara Kas', 0, 0),</v>
      </c>
    </row>
    <row r="14" spans="1:14" ht="27" x14ac:dyDescent="0.3">
      <c r="A14">
        <v>1010</v>
      </c>
      <c r="B14" t="s">
        <v>177</v>
      </c>
      <c r="C14" t="s">
        <v>178</v>
      </c>
      <c r="D14" s="7" t="s">
        <v>186</v>
      </c>
      <c r="E14" s="4" t="s">
        <v>13</v>
      </c>
      <c r="F14" s="9" t="s">
        <v>10</v>
      </c>
      <c r="G14">
        <v>11</v>
      </c>
      <c r="H14" s="4">
        <v>11</v>
      </c>
      <c r="I14" s="4" t="s">
        <v>934</v>
      </c>
      <c r="J14" s="4" t="str">
        <f t="shared" si="0"/>
        <v>1101020001</v>
      </c>
      <c r="K14" s="1" t="s">
        <v>12</v>
      </c>
      <c r="L14" s="4" t="s">
        <v>11</v>
      </c>
      <c r="M14" s="8" t="s">
        <v>840</v>
      </c>
      <c r="N14" s="4" t="str">
        <f t="shared" si="1"/>
        <v>('1010','RPT_009', 'LabaTrialBalance3rdSegment', '1101020001 - Kas Operasional - IDR - General Cashier', 'Aset', 'Aset Lancar', '11', '11', 'AND ma.main_account_id IN (1101020001)', 'A', 'Kas dan Setara Kas', 0, 0),</v>
      </c>
    </row>
    <row r="15" spans="1:14" x14ac:dyDescent="0.3">
      <c r="A15">
        <v>1011</v>
      </c>
      <c r="B15" t="s">
        <v>177</v>
      </c>
      <c r="C15" t="s">
        <v>178</v>
      </c>
      <c r="D15" s="6" t="s">
        <v>187</v>
      </c>
      <c r="E15" s="4" t="s">
        <v>13</v>
      </c>
      <c r="F15" s="9" t="s">
        <v>10</v>
      </c>
      <c r="G15">
        <v>12</v>
      </c>
      <c r="H15" s="4">
        <v>12</v>
      </c>
      <c r="I15" s="4" t="s">
        <v>934</v>
      </c>
      <c r="J15" s="4" t="str">
        <f t="shared" si="0"/>
        <v>1101100000</v>
      </c>
      <c r="K15" s="1" t="s">
        <v>12</v>
      </c>
      <c r="L15" s="4" t="s">
        <v>11</v>
      </c>
      <c r="M15" s="8" t="s">
        <v>840</v>
      </c>
      <c r="N15" s="4" t="str">
        <f t="shared" si="1"/>
        <v>('1011','RPT_009', 'LabaTrialBalance3rdSegment', '1101100000 -  Kas di Bank - Pihak berelasi', 'Aset', 'Aset Lancar', '12', '12', 'AND ma.main_account_id IN (1101100000)', 'A', 'Kas dan Setara Kas', 0, 0),</v>
      </c>
    </row>
    <row r="16" spans="1:14" ht="27" x14ac:dyDescent="0.3">
      <c r="A16">
        <v>1012</v>
      </c>
      <c r="B16" t="s">
        <v>177</v>
      </c>
      <c r="C16" t="s">
        <v>178</v>
      </c>
      <c r="D16" s="7" t="s">
        <v>188</v>
      </c>
      <c r="E16" s="4" t="s">
        <v>13</v>
      </c>
      <c r="F16" s="9" t="s">
        <v>10</v>
      </c>
      <c r="G16">
        <v>13</v>
      </c>
      <c r="H16" s="4">
        <v>13</v>
      </c>
      <c r="I16" s="4" t="s">
        <v>934</v>
      </c>
      <c r="J16" s="4" t="str">
        <f t="shared" si="0"/>
        <v>1101100320</v>
      </c>
      <c r="K16" s="1" t="s">
        <v>12</v>
      </c>
      <c r="L16" s="4" t="s">
        <v>11</v>
      </c>
      <c r="M16" s="8" t="s">
        <v>840</v>
      </c>
      <c r="N16" s="4" t="str">
        <f t="shared" si="1"/>
        <v>('1012','RPT_009', 'LabaTrialBalance3rdSegment', '1101100320 - BNI - KC Mataram - IDR - 564 - MGPA', 'Aset', 'Aset Lancar', '13', '13', 'AND ma.main_account_id IN (1101100320)', 'A', 'Kas dan Setara Kas', 0, 0),</v>
      </c>
    </row>
    <row r="17" spans="1:14" ht="27" x14ac:dyDescent="0.3">
      <c r="A17">
        <v>1013</v>
      </c>
      <c r="B17" t="s">
        <v>177</v>
      </c>
      <c r="C17" t="s">
        <v>178</v>
      </c>
      <c r="D17" s="7" t="s">
        <v>189</v>
      </c>
      <c r="E17" s="4" t="s">
        <v>13</v>
      </c>
      <c r="F17" s="9" t="s">
        <v>10</v>
      </c>
      <c r="G17">
        <v>14</v>
      </c>
      <c r="H17" s="4">
        <v>14</v>
      </c>
      <c r="I17" s="4" t="s">
        <v>934</v>
      </c>
      <c r="J17" s="4" t="str">
        <f t="shared" si="0"/>
        <v>1101100512</v>
      </c>
      <c r="K17" s="1" t="s">
        <v>12</v>
      </c>
      <c r="L17" s="4" t="s">
        <v>11</v>
      </c>
      <c r="M17" s="8" t="s">
        <v>840</v>
      </c>
      <c r="N17" s="4" t="str">
        <f t="shared" si="1"/>
        <v>('1013','RPT_009', 'LabaTrialBalance3rdSegment', '1101100512 - BNI - KC Sudirman - IDR - 902 - INX', 'Aset', 'Aset Lancar', '14', '14', 'AND ma.main_account_id IN (1101100512)', 'A', 'Kas dan Setara Kas', 0, 0),</v>
      </c>
    </row>
    <row r="18" spans="1:14" ht="27" x14ac:dyDescent="0.3">
      <c r="A18">
        <v>1014</v>
      </c>
      <c r="B18" t="s">
        <v>177</v>
      </c>
      <c r="C18" t="s">
        <v>178</v>
      </c>
      <c r="D18" s="7" t="s">
        <v>190</v>
      </c>
      <c r="E18" s="4" t="s">
        <v>13</v>
      </c>
      <c r="F18" s="9" t="s">
        <v>10</v>
      </c>
      <c r="G18">
        <v>15</v>
      </c>
      <c r="H18" s="4">
        <v>15</v>
      </c>
      <c r="I18" s="4" t="s">
        <v>934</v>
      </c>
      <c r="J18" s="4" t="str">
        <f t="shared" si="0"/>
        <v>1101100583</v>
      </c>
      <c r="K18" s="1" t="s">
        <v>12</v>
      </c>
      <c r="L18" s="4" t="s">
        <v>11</v>
      </c>
      <c r="M18" s="8" t="s">
        <v>840</v>
      </c>
      <c r="N18" s="4" t="str">
        <f t="shared" si="1"/>
        <v>('1014','RPT_009', 'LabaTrialBalance3rdSegment', '1101100583 - BNI - KCP Sibang - IDR - 515 - ITDC', 'Aset', 'Aset Lancar', '15', '15', 'AND ma.main_account_id IN (1101100583)', 'A', 'Kas dan Setara Kas', 0, 0),</v>
      </c>
    </row>
    <row r="19" spans="1:14" ht="27" x14ac:dyDescent="0.3">
      <c r="A19">
        <v>1015</v>
      </c>
      <c r="B19" t="s">
        <v>177</v>
      </c>
      <c r="C19" t="s">
        <v>178</v>
      </c>
      <c r="D19" s="7" t="s">
        <v>191</v>
      </c>
      <c r="E19" s="4" t="s">
        <v>13</v>
      </c>
      <c r="F19" s="9" t="s">
        <v>10</v>
      </c>
      <c r="G19">
        <v>16</v>
      </c>
      <c r="H19" s="4">
        <v>16</v>
      </c>
      <c r="I19" s="4" t="s">
        <v>934</v>
      </c>
      <c r="J19" s="4" t="str">
        <f t="shared" si="0"/>
        <v>1101100584</v>
      </c>
      <c r="K19" s="1" t="s">
        <v>12</v>
      </c>
      <c r="L19" s="4" t="s">
        <v>11</v>
      </c>
      <c r="M19" s="8" t="s">
        <v>840</v>
      </c>
      <c r="N19" s="4" t="str">
        <f t="shared" si="1"/>
        <v>('1015','RPT_009', 'LabaTrialBalance3rdSegment', '1101100584 - BNI - KCP Sibang - IDR - 695 - ITDC', 'Aset', 'Aset Lancar', '16', '16', 'AND ma.main_account_id IN (1101100584)', 'A', 'Kas dan Setara Kas', 0, 0),</v>
      </c>
    </row>
    <row r="20" spans="1:14" ht="27" x14ac:dyDescent="0.3">
      <c r="A20">
        <v>1016</v>
      </c>
      <c r="B20" t="s">
        <v>177</v>
      </c>
      <c r="C20" t="s">
        <v>178</v>
      </c>
      <c r="D20" s="7" t="s">
        <v>192</v>
      </c>
      <c r="E20" s="4" t="s">
        <v>13</v>
      </c>
      <c r="F20" s="9" t="s">
        <v>10</v>
      </c>
      <c r="G20">
        <v>17</v>
      </c>
      <c r="H20" s="4">
        <v>17</v>
      </c>
      <c r="I20" s="4" t="s">
        <v>934</v>
      </c>
      <c r="J20" s="4" t="str">
        <f t="shared" si="0"/>
        <v>1101100585</v>
      </c>
      <c r="K20" s="1" t="s">
        <v>12</v>
      </c>
      <c r="L20" s="4" t="s">
        <v>11</v>
      </c>
      <c r="M20" s="8" t="s">
        <v>840</v>
      </c>
      <c r="N20" s="4" t="str">
        <f t="shared" si="1"/>
        <v>('1016','RPT_009', 'LabaTrialBalance3rdSegment', '1101100585 - BNI - KCP Sibang - IDR - 465 - ITDC', 'Aset', 'Aset Lancar', '17', '17', 'AND ma.main_account_id IN (1101100585)', 'A', 'Kas dan Setara Kas', 0, 0),</v>
      </c>
    </row>
    <row r="21" spans="1:14" ht="27" x14ac:dyDescent="0.3">
      <c r="A21">
        <v>1017</v>
      </c>
      <c r="B21" t="s">
        <v>177</v>
      </c>
      <c r="C21" t="s">
        <v>178</v>
      </c>
      <c r="D21" s="7" t="s">
        <v>193</v>
      </c>
      <c r="E21" s="4" t="s">
        <v>13</v>
      </c>
      <c r="F21" s="9" t="s">
        <v>10</v>
      </c>
      <c r="G21">
        <v>18</v>
      </c>
      <c r="H21" s="4">
        <v>18</v>
      </c>
      <c r="I21" s="4" t="s">
        <v>934</v>
      </c>
      <c r="J21" s="4" t="str">
        <f t="shared" si="0"/>
        <v>1101100586</v>
      </c>
      <c r="K21" s="1" t="s">
        <v>12</v>
      </c>
      <c r="L21" s="4" t="s">
        <v>11</v>
      </c>
      <c r="M21" s="8" t="s">
        <v>840</v>
      </c>
      <c r="N21" s="4" t="str">
        <f t="shared" si="1"/>
        <v>('1017','RPT_009', 'LabaTrialBalance3rdSegment', '1101100586 - BNI - KCP Sibang - IDR - 465 - ITDC', 'Aset', 'Aset Lancar', '18', '18', 'AND ma.main_account_id IN (1101100586)', 'A', 'Kas dan Setara Kas', 0, 0),</v>
      </c>
    </row>
    <row r="22" spans="1:14" ht="27" x14ac:dyDescent="0.3">
      <c r="A22">
        <v>1018</v>
      </c>
      <c r="B22" t="s">
        <v>177</v>
      </c>
      <c r="C22" t="s">
        <v>178</v>
      </c>
      <c r="D22" s="7" t="s">
        <v>194</v>
      </c>
      <c r="E22" s="4" t="s">
        <v>13</v>
      </c>
      <c r="F22" s="9" t="s">
        <v>10</v>
      </c>
      <c r="G22">
        <v>19</v>
      </c>
      <c r="H22" s="4">
        <v>19</v>
      </c>
      <c r="I22" s="4" t="s">
        <v>934</v>
      </c>
      <c r="J22" s="4" t="str">
        <f t="shared" si="0"/>
        <v>1101100587</v>
      </c>
      <c r="K22" s="1" t="s">
        <v>12</v>
      </c>
      <c r="L22" s="4" t="s">
        <v>11</v>
      </c>
      <c r="M22" s="8" t="s">
        <v>840</v>
      </c>
      <c r="N22" s="4" t="str">
        <f t="shared" si="1"/>
        <v>('1018','RPT_009', 'LabaTrialBalance3rdSegment', '1101100587 - BNI - KCP Sibang - IDR - 356 - ITDC', 'Aset', 'Aset Lancar', '19', '19', 'AND ma.main_account_id IN (1101100587)', 'A', 'Kas dan Setara Kas', 0, 0),</v>
      </c>
    </row>
    <row r="23" spans="1:14" ht="27" x14ac:dyDescent="0.3">
      <c r="A23">
        <v>1019</v>
      </c>
      <c r="B23" t="s">
        <v>177</v>
      </c>
      <c r="C23" t="s">
        <v>178</v>
      </c>
      <c r="D23" s="7" t="s">
        <v>195</v>
      </c>
      <c r="E23" s="4" t="s">
        <v>13</v>
      </c>
      <c r="F23" s="9" t="s">
        <v>10</v>
      </c>
      <c r="G23">
        <v>20</v>
      </c>
      <c r="H23" s="4">
        <v>20</v>
      </c>
      <c r="I23" s="4" t="s">
        <v>934</v>
      </c>
      <c r="J23" s="4" t="str">
        <f t="shared" si="0"/>
        <v>1101100588</v>
      </c>
      <c r="K23" s="1" t="s">
        <v>12</v>
      </c>
      <c r="L23" s="4" t="s">
        <v>11</v>
      </c>
      <c r="M23" s="8" t="s">
        <v>840</v>
      </c>
      <c r="N23" s="4" t="str">
        <f t="shared" si="1"/>
        <v>('1019','RPT_009', 'LabaTrialBalance3rdSegment', '1101100588 - BNI - KCP Sibang - IDR - 577 - ITDC', 'Aset', 'Aset Lancar', '20', '20', 'AND ma.main_account_id IN (1101100588)', 'A', 'Kas dan Setara Kas', 0, 0),</v>
      </c>
    </row>
    <row r="24" spans="1:14" ht="27" x14ac:dyDescent="0.3">
      <c r="A24">
        <v>1020</v>
      </c>
      <c r="B24" t="s">
        <v>177</v>
      </c>
      <c r="C24" t="s">
        <v>178</v>
      </c>
      <c r="D24" s="7" t="s">
        <v>196</v>
      </c>
      <c r="E24" s="4" t="s">
        <v>13</v>
      </c>
      <c r="F24" s="9" t="s">
        <v>10</v>
      </c>
      <c r="G24">
        <v>21</v>
      </c>
      <c r="H24" s="4">
        <v>21</v>
      </c>
      <c r="I24" s="4" t="s">
        <v>934</v>
      </c>
      <c r="J24" s="4" t="str">
        <f t="shared" si="0"/>
        <v>1101100589</v>
      </c>
      <c r="K24" s="1" t="s">
        <v>12</v>
      </c>
      <c r="L24" s="4" t="s">
        <v>11</v>
      </c>
      <c r="M24" s="8" t="s">
        <v>840</v>
      </c>
      <c r="N24" s="4" t="str">
        <f t="shared" si="1"/>
        <v>('1020','RPT_009', 'LabaTrialBalance3rdSegment', '1101100589 - BNI - KCP Sibang - IDR - 248 - ITDC', 'Aset', 'Aset Lancar', '21', '21', 'AND ma.main_account_id IN (1101100589)', 'A', 'Kas dan Setara Kas', 0, 0),</v>
      </c>
    </row>
    <row r="25" spans="1:14" ht="27" x14ac:dyDescent="0.3">
      <c r="A25">
        <v>1021</v>
      </c>
      <c r="B25" t="s">
        <v>177</v>
      </c>
      <c r="C25" t="s">
        <v>178</v>
      </c>
      <c r="D25" s="7" t="s">
        <v>197</v>
      </c>
      <c r="E25" s="4" t="s">
        <v>13</v>
      </c>
      <c r="F25" s="9" t="s">
        <v>10</v>
      </c>
      <c r="G25">
        <v>22</v>
      </c>
      <c r="H25" s="4">
        <v>22</v>
      </c>
      <c r="I25" s="4" t="s">
        <v>934</v>
      </c>
      <c r="J25" s="4" t="str">
        <f t="shared" si="0"/>
        <v>1101100590</v>
      </c>
      <c r="K25" s="1" t="s">
        <v>12</v>
      </c>
      <c r="L25" s="4" t="s">
        <v>11</v>
      </c>
      <c r="M25" s="8" t="s">
        <v>840</v>
      </c>
      <c r="N25" s="4" t="str">
        <f t="shared" si="1"/>
        <v>('1021','RPT_009', 'LabaTrialBalance3rdSegment', '1101100590 - BNI - KCP Praya - IDR - 237 - ITDC', 'Aset', 'Aset Lancar', '22', '22', 'AND ma.main_account_id IN (1101100590)', 'A', 'Kas dan Setara Kas', 0, 0),</v>
      </c>
    </row>
    <row r="26" spans="1:14" ht="27" x14ac:dyDescent="0.3">
      <c r="A26">
        <v>1022</v>
      </c>
      <c r="B26" t="s">
        <v>177</v>
      </c>
      <c r="C26" t="s">
        <v>178</v>
      </c>
      <c r="D26" s="7" t="s">
        <v>198</v>
      </c>
      <c r="E26" s="4" t="s">
        <v>13</v>
      </c>
      <c r="F26" s="9" t="s">
        <v>10</v>
      </c>
      <c r="G26">
        <v>23</v>
      </c>
      <c r="H26" s="4">
        <v>23</v>
      </c>
      <c r="I26" s="4" t="s">
        <v>934</v>
      </c>
      <c r="J26" s="4" t="str">
        <f t="shared" si="0"/>
        <v>1101100882</v>
      </c>
      <c r="K26" s="1" t="s">
        <v>12</v>
      </c>
      <c r="L26" s="4" t="s">
        <v>11</v>
      </c>
      <c r="M26" s="8" t="s">
        <v>840</v>
      </c>
      <c r="N26" s="4" t="str">
        <f t="shared" si="1"/>
        <v>('1022','RPT_009', 'LabaTrialBalance3rdSegment', '1101100882 - BNI - KC Sudirman - USD - 913 - INX', 'Aset', 'Aset Lancar', '23', '23', 'AND ma.main_account_id IN (1101100882)', 'A', 'Kas dan Setara Kas', 0, 0),</v>
      </c>
    </row>
    <row r="27" spans="1:14" ht="27" x14ac:dyDescent="0.3">
      <c r="A27">
        <v>1023</v>
      </c>
      <c r="B27" t="s">
        <v>177</v>
      </c>
      <c r="C27" t="s">
        <v>178</v>
      </c>
      <c r="D27" s="7" t="s">
        <v>199</v>
      </c>
      <c r="E27" s="4" t="s">
        <v>13</v>
      </c>
      <c r="F27" s="9" t="s">
        <v>10</v>
      </c>
      <c r="G27">
        <v>24</v>
      </c>
      <c r="H27" s="4">
        <v>24</v>
      </c>
      <c r="I27" s="4" t="s">
        <v>934</v>
      </c>
      <c r="J27" s="4" t="str">
        <f t="shared" si="0"/>
        <v>1101100889</v>
      </c>
      <c r="K27" s="1" t="s">
        <v>12</v>
      </c>
      <c r="L27" s="4" t="s">
        <v>11</v>
      </c>
      <c r="M27" s="8" t="s">
        <v>840</v>
      </c>
      <c r="N27" s="4" t="str">
        <f t="shared" si="1"/>
        <v>('1023','RPT_009', 'LabaTrialBalance3rdSegment', '1101100889 - BNI - KCP Sibang - USD - 755 - ITDC', 'Aset', 'Aset Lancar', '24', '24', 'AND ma.main_account_id IN (1101100889)', 'A', 'Kas dan Setara Kas', 0, 0),</v>
      </c>
    </row>
    <row r="28" spans="1:14" ht="27" x14ac:dyDescent="0.3">
      <c r="A28">
        <v>1024</v>
      </c>
      <c r="B28" t="s">
        <v>177</v>
      </c>
      <c r="C28" t="s">
        <v>178</v>
      </c>
      <c r="D28" s="7" t="s">
        <v>200</v>
      </c>
      <c r="E28" s="4" t="s">
        <v>13</v>
      </c>
      <c r="F28" s="9" t="s">
        <v>10</v>
      </c>
      <c r="G28">
        <v>25</v>
      </c>
      <c r="H28" s="4">
        <v>25</v>
      </c>
      <c r="I28" s="4" t="s">
        <v>934</v>
      </c>
      <c r="J28" s="4" t="str">
        <f t="shared" si="0"/>
        <v>1101101893</v>
      </c>
      <c r="K28" s="1" t="s">
        <v>12</v>
      </c>
      <c r="L28" s="4" t="s">
        <v>11</v>
      </c>
      <c r="M28" s="8" t="s">
        <v>840</v>
      </c>
      <c r="N28" s="4" t="str">
        <f t="shared" si="1"/>
        <v>('1024','RPT_009', 'LabaTrialBalance3rdSegment', '1101101893 - BRI - KCK Jakarta - IDR - 308 - MGPA', 'Aset', 'Aset Lancar', '25', '25', 'AND ma.main_account_id IN (1101101893)', 'A', 'Kas dan Setara Kas', 0, 0),</v>
      </c>
    </row>
    <row r="29" spans="1:14" ht="27" x14ac:dyDescent="0.3">
      <c r="A29">
        <v>1025</v>
      </c>
      <c r="B29" t="s">
        <v>177</v>
      </c>
      <c r="C29" t="s">
        <v>178</v>
      </c>
      <c r="D29" s="7" t="s">
        <v>201</v>
      </c>
      <c r="E29" s="4" t="s">
        <v>13</v>
      </c>
      <c r="F29" s="9" t="s">
        <v>10</v>
      </c>
      <c r="G29">
        <v>26</v>
      </c>
      <c r="H29" s="4">
        <v>26</v>
      </c>
      <c r="I29" s="4" t="s">
        <v>934</v>
      </c>
      <c r="J29" s="4" t="str">
        <f t="shared" si="0"/>
        <v>1101101922</v>
      </c>
      <c r="K29" s="1" t="s">
        <v>12</v>
      </c>
      <c r="L29" s="4" t="s">
        <v>11</v>
      </c>
      <c r="M29" s="8" t="s">
        <v>840</v>
      </c>
      <c r="N29" s="4" t="str">
        <f t="shared" si="1"/>
        <v>('1025','RPT_009', 'LabaTrialBalance3rdSegment', '1101101922 - BRI - KCK Jakarta - IDR - 309 - INX', 'Aset', 'Aset Lancar', '26', '26', 'AND ma.main_account_id IN (1101101922)', 'A', 'Kas dan Setara Kas', 0, 0),</v>
      </c>
    </row>
    <row r="30" spans="1:14" ht="27" x14ac:dyDescent="0.3">
      <c r="A30">
        <v>1026</v>
      </c>
      <c r="B30" t="s">
        <v>177</v>
      </c>
      <c r="C30" t="s">
        <v>178</v>
      </c>
      <c r="D30" s="7" t="s">
        <v>202</v>
      </c>
      <c r="E30" s="4" t="s">
        <v>13</v>
      </c>
      <c r="F30" s="9" t="s">
        <v>10</v>
      </c>
      <c r="G30">
        <v>27</v>
      </c>
      <c r="H30" s="4">
        <v>27</v>
      </c>
      <c r="I30" s="4" t="s">
        <v>934</v>
      </c>
      <c r="J30" s="4" t="str">
        <f t="shared" si="0"/>
        <v>1101101927</v>
      </c>
      <c r="K30" s="1" t="s">
        <v>12</v>
      </c>
      <c r="L30" s="4" t="s">
        <v>11</v>
      </c>
      <c r="M30" s="8" t="s">
        <v>840</v>
      </c>
      <c r="N30" s="4" t="str">
        <f t="shared" si="1"/>
        <v>('1026','RPT_009', 'LabaTrialBalance3rdSegment', '1101101927 - BRI - KCP Pujut - IDR - 565 - INU', 'Aset', 'Aset Lancar', '27', '27', 'AND ma.main_account_id IN (1101101927)', 'A', 'Kas dan Setara Kas', 0, 0),</v>
      </c>
    </row>
    <row r="31" spans="1:14" ht="27" x14ac:dyDescent="0.3">
      <c r="A31">
        <v>1027</v>
      </c>
      <c r="B31" t="s">
        <v>177</v>
      </c>
      <c r="C31" t="s">
        <v>178</v>
      </c>
      <c r="D31" s="7" t="s">
        <v>203</v>
      </c>
      <c r="E31" s="4" t="s">
        <v>13</v>
      </c>
      <c r="F31" s="9" t="s">
        <v>10</v>
      </c>
      <c r="G31">
        <v>28</v>
      </c>
      <c r="H31" s="4">
        <v>28</v>
      </c>
      <c r="I31" s="4" t="s">
        <v>934</v>
      </c>
      <c r="J31" s="4" t="str">
        <f t="shared" si="0"/>
        <v>1101101938</v>
      </c>
      <c r="K31" s="1" t="s">
        <v>12</v>
      </c>
      <c r="L31" s="4" t="s">
        <v>11</v>
      </c>
      <c r="M31" s="8" t="s">
        <v>840</v>
      </c>
      <c r="N31" s="4" t="str">
        <f t="shared" si="1"/>
        <v>('1027','RPT_009', 'LabaTrialBalance3rdSegment', '1101101938 - BRI - KCP Gatsu - IDR - 308 - ITDC', 'Aset', 'Aset Lancar', '28', '28', 'AND ma.main_account_id IN (1101101938)', 'A', 'Kas dan Setara Kas', 0, 0),</v>
      </c>
    </row>
    <row r="32" spans="1:14" ht="27" x14ac:dyDescent="0.3">
      <c r="A32">
        <v>1028</v>
      </c>
      <c r="B32" t="s">
        <v>177</v>
      </c>
      <c r="C32" t="s">
        <v>178</v>
      </c>
      <c r="D32" s="7" t="s">
        <v>204</v>
      </c>
      <c r="E32" s="4" t="s">
        <v>13</v>
      </c>
      <c r="F32" s="9" t="s">
        <v>10</v>
      </c>
      <c r="G32">
        <v>29</v>
      </c>
      <c r="H32" s="4">
        <v>29</v>
      </c>
      <c r="I32" s="4" t="s">
        <v>934</v>
      </c>
      <c r="J32" s="4" t="str">
        <f t="shared" si="0"/>
        <v>1101101939</v>
      </c>
      <c r="K32" s="1" t="s">
        <v>12</v>
      </c>
      <c r="L32" s="4" t="s">
        <v>11</v>
      </c>
      <c r="M32" s="8" t="s">
        <v>840</v>
      </c>
      <c r="N32" s="4" t="str">
        <f t="shared" si="1"/>
        <v>('1028','RPT_009', 'LabaTrialBalance3rdSegment', '1101101939 - BRI - KCP Kusuma Atmaja - IDR - 305 - ITDC', 'Aset', 'Aset Lancar', '29', '29', 'AND ma.main_account_id IN (1101101939)', 'A', 'Kas dan Setara Kas', 0, 0),</v>
      </c>
    </row>
    <row r="33" spans="1:14" ht="27" x14ac:dyDescent="0.3">
      <c r="A33">
        <v>1029</v>
      </c>
      <c r="B33" t="s">
        <v>177</v>
      </c>
      <c r="C33" t="s">
        <v>178</v>
      </c>
      <c r="D33" s="7" t="s">
        <v>205</v>
      </c>
      <c r="E33" s="4" t="s">
        <v>13</v>
      </c>
      <c r="F33" s="9" t="s">
        <v>10</v>
      </c>
      <c r="G33">
        <v>30</v>
      </c>
      <c r="H33" s="4">
        <v>30</v>
      </c>
      <c r="I33" s="4" t="s">
        <v>934</v>
      </c>
      <c r="J33" s="4" t="str">
        <f t="shared" si="0"/>
        <v>1101101940</v>
      </c>
      <c r="K33" s="1" t="s">
        <v>12</v>
      </c>
      <c r="L33" s="4" t="s">
        <v>11</v>
      </c>
      <c r="M33" s="8" t="s">
        <v>840</v>
      </c>
      <c r="N33" s="4" t="str">
        <f t="shared" si="1"/>
        <v>('1029','RPT_009', 'LabaTrialBalance3rdSegment', '1101101940 - BRI - KCP Kusuma Atmaja - IDR - 301 - ITDC', 'Aset', 'Aset Lancar', '30', '30', 'AND ma.main_account_id IN (1101101940)', 'A', 'Kas dan Setara Kas', 0, 0),</v>
      </c>
    </row>
    <row r="34" spans="1:14" ht="27" x14ac:dyDescent="0.3">
      <c r="A34">
        <v>1030</v>
      </c>
      <c r="B34" t="s">
        <v>177</v>
      </c>
      <c r="C34" t="s">
        <v>178</v>
      </c>
      <c r="D34" s="7" t="s">
        <v>206</v>
      </c>
      <c r="E34" s="4" t="s">
        <v>13</v>
      </c>
      <c r="F34" s="9" t="s">
        <v>10</v>
      </c>
      <c r="G34">
        <v>31</v>
      </c>
      <c r="H34" s="4">
        <v>31</v>
      </c>
      <c r="I34" s="4" t="s">
        <v>934</v>
      </c>
      <c r="J34" s="4" t="str">
        <f t="shared" si="0"/>
        <v>1101101941</v>
      </c>
      <c r="K34" s="1" t="s">
        <v>12</v>
      </c>
      <c r="L34" s="4" t="s">
        <v>11</v>
      </c>
      <c r="M34" s="8" t="s">
        <v>840</v>
      </c>
      <c r="N34" s="4" t="str">
        <f t="shared" si="1"/>
        <v>('1030','RPT_009', 'LabaTrialBalance3rdSegment', '1101101941 - BRI - KCP Kusuma Atmaja - IDR - 305 - ITDC', 'Aset', 'Aset Lancar', '31', '31', 'AND ma.main_account_id IN (1101101941)', 'A', 'Kas dan Setara Kas', 0, 0),</v>
      </c>
    </row>
    <row r="35" spans="1:14" ht="27" x14ac:dyDescent="0.3">
      <c r="A35">
        <v>1031</v>
      </c>
      <c r="B35" t="s">
        <v>177</v>
      </c>
      <c r="C35" t="s">
        <v>178</v>
      </c>
      <c r="D35" s="7" t="s">
        <v>207</v>
      </c>
      <c r="E35" s="4" t="s">
        <v>13</v>
      </c>
      <c r="F35" s="9" t="s">
        <v>10</v>
      </c>
      <c r="G35">
        <v>32</v>
      </c>
      <c r="H35" s="4">
        <v>32</v>
      </c>
      <c r="I35" s="4" t="s">
        <v>934</v>
      </c>
      <c r="J35" s="4" t="str">
        <f t="shared" si="0"/>
        <v>1101102759</v>
      </c>
      <c r="K35" s="1" t="s">
        <v>12</v>
      </c>
      <c r="L35" s="4" t="s">
        <v>11</v>
      </c>
      <c r="M35" s="8" t="s">
        <v>840</v>
      </c>
      <c r="N35" s="4" t="str">
        <f t="shared" si="1"/>
        <v>('1031','RPT_009', 'LabaTrialBalance3rdSegment', '1101102759 - BTN - KCP Grha Pertamina - IDR - 368 - MGPA', 'Aset', 'Aset Lancar', '32', '32', 'AND ma.main_account_id IN (1101102759)', 'A', 'Kas dan Setara Kas', 0, 0),</v>
      </c>
    </row>
    <row r="36" spans="1:14" ht="27" x14ac:dyDescent="0.3">
      <c r="A36">
        <v>1032</v>
      </c>
      <c r="B36" t="s">
        <v>177</v>
      </c>
      <c r="C36" t="s">
        <v>178</v>
      </c>
      <c r="D36" s="7" t="s">
        <v>208</v>
      </c>
      <c r="E36" s="4" t="s">
        <v>13</v>
      </c>
      <c r="F36" s="9" t="s">
        <v>10</v>
      </c>
      <c r="G36">
        <v>33</v>
      </c>
      <c r="H36" s="4">
        <v>33</v>
      </c>
      <c r="I36" s="4" t="s">
        <v>934</v>
      </c>
      <c r="J36" s="4" t="str">
        <f t="shared" si="0"/>
        <v>1101102780</v>
      </c>
      <c r="K36" s="1" t="s">
        <v>12</v>
      </c>
      <c r="L36" s="4" t="s">
        <v>11</v>
      </c>
      <c r="M36" s="8" t="s">
        <v>840</v>
      </c>
      <c r="N36" s="4" t="str">
        <f t="shared" si="1"/>
        <v>('1032','RPT_009', 'LabaTrialBalance3rdSegment', '1101102780 - BTN - KCP Gajah Mada - IDR - 410 - ITDC', 'Aset', 'Aset Lancar', '33', '33', 'AND ma.main_account_id IN (1101102780)', 'A', 'Kas dan Setara Kas', 0, 0),</v>
      </c>
    </row>
    <row r="37" spans="1:14" ht="27" x14ac:dyDescent="0.3">
      <c r="A37">
        <v>1033</v>
      </c>
      <c r="B37" t="s">
        <v>177</v>
      </c>
      <c r="C37" t="s">
        <v>178</v>
      </c>
      <c r="D37" s="7" t="s">
        <v>209</v>
      </c>
      <c r="E37" s="4" t="s">
        <v>13</v>
      </c>
      <c r="F37" s="9" t="s">
        <v>10</v>
      </c>
      <c r="G37">
        <v>34</v>
      </c>
      <c r="H37" s="4">
        <v>34</v>
      </c>
      <c r="I37" s="4" t="s">
        <v>934</v>
      </c>
      <c r="J37" s="4" t="str">
        <f t="shared" si="0"/>
        <v>1101102781</v>
      </c>
      <c r="K37" s="1" t="s">
        <v>12</v>
      </c>
      <c r="L37" s="4" t="s">
        <v>11</v>
      </c>
      <c r="M37" s="8" t="s">
        <v>840</v>
      </c>
      <c r="N37" s="4" t="str">
        <f t="shared" si="1"/>
        <v>('1033','RPT_009', 'LabaTrialBalance3rdSegment', '1101102781 - BTN - KCP Gajah Mada - IDR - 917 - ITDC', 'Aset', 'Aset Lancar', '34', '34', 'AND ma.main_account_id IN (1101102781)', 'A', 'Kas dan Setara Kas', 0, 0),</v>
      </c>
    </row>
    <row r="38" spans="1:14" ht="27" x14ac:dyDescent="0.3">
      <c r="A38">
        <v>1034</v>
      </c>
      <c r="B38" t="s">
        <v>177</v>
      </c>
      <c r="C38" t="s">
        <v>178</v>
      </c>
      <c r="D38" s="7" t="s">
        <v>210</v>
      </c>
      <c r="E38" s="4" t="s">
        <v>13</v>
      </c>
      <c r="F38" s="9" t="s">
        <v>10</v>
      </c>
      <c r="G38">
        <v>35</v>
      </c>
      <c r="H38" s="4">
        <v>35</v>
      </c>
      <c r="I38" s="4" t="s">
        <v>934</v>
      </c>
      <c r="J38" s="4" t="str">
        <f t="shared" si="0"/>
        <v>1101103034</v>
      </c>
      <c r="K38" s="1" t="s">
        <v>12</v>
      </c>
      <c r="L38" s="4" t="s">
        <v>11</v>
      </c>
      <c r="M38" s="8" t="s">
        <v>840</v>
      </c>
      <c r="N38" s="4" t="str">
        <f t="shared" si="1"/>
        <v>('1034','RPT_009', 'LabaTrialBalance3rdSegment', '1101103034 - Mandiri - KCP Praya - IDR - 015 - MGPA', 'Aset', 'Aset Lancar', '35', '35', 'AND ma.main_account_id IN (1101103034)', 'A', 'Kas dan Setara Kas', 0, 0),</v>
      </c>
    </row>
    <row r="39" spans="1:14" ht="27" x14ac:dyDescent="0.3">
      <c r="A39">
        <v>1035</v>
      </c>
      <c r="B39" t="s">
        <v>177</v>
      </c>
      <c r="C39" t="s">
        <v>178</v>
      </c>
      <c r="D39" s="7" t="s">
        <v>211</v>
      </c>
      <c r="E39" s="4" t="s">
        <v>13</v>
      </c>
      <c r="F39" s="9" t="s">
        <v>10</v>
      </c>
      <c r="G39">
        <v>36</v>
      </c>
      <c r="H39" s="4">
        <v>36</v>
      </c>
      <c r="I39" s="4" t="s">
        <v>934</v>
      </c>
      <c r="J39" s="4" t="str">
        <f t="shared" si="0"/>
        <v>1101103155</v>
      </c>
      <c r="K39" s="1" t="s">
        <v>12</v>
      </c>
      <c r="L39" s="4" t="s">
        <v>11</v>
      </c>
      <c r="M39" s="8" t="s">
        <v>840</v>
      </c>
      <c r="N39" s="4" t="str">
        <f t="shared" si="1"/>
        <v>('1035','RPT_009', 'LabaTrialBalance3rdSegment', '1101103155 - Mandiri - KCP Praya - IDR - 211 - MGPA', 'Aset', 'Aset Lancar', '36', '36', 'AND ma.main_account_id IN (1101103155)', 'A', 'Kas dan Setara Kas', 0, 0),</v>
      </c>
    </row>
    <row r="40" spans="1:14" ht="27" x14ac:dyDescent="0.3">
      <c r="A40">
        <v>1036</v>
      </c>
      <c r="B40" t="s">
        <v>177</v>
      </c>
      <c r="C40" t="s">
        <v>178</v>
      </c>
      <c r="D40" s="7" t="s">
        <v>212</v>
      </c>
      <c r="E40" s="4" t="s">
        <v>13</v>
      </c>
      <c r="F40" s="9" t="s">
        <v>10</v>
      </c>
      <c r="G40">
        <v>37</v>
      </c>
      <c r="H40" s="4">
        <v>37</v>
      </c>
      <c r="I40" s="4" t="s">
        <v>934</v>
      </c>
      <c r="J40" s="4" t="str">
        <f t="shared" si="0"/>
        <v>1101103192</v>
      </c>
      <c r="K40" s="1" t="s">
        <v>12</v>
      </c>
      <c r="L40" s="4" t="s">
        <v>11</v>
      </c>
      <c r="M40" s="8" t="s">
        <v>840</v>
      </c>
      <c r="N40" s="4" t="str">
        <f t="shared" si="1"/>
        <v>('1036','RPT_009', 'LabaTrialBalance3rdSegment', '1101103192 - Mandiri - KCP Praya - IDR - 290 - MGPA', 'Aset', 'Aset Lancar', '37', '37', 'AND ma.main_account_id IN (1101103192)', 'A', 'Kas dan Setara Kas', 0, 0),</v>
      </c>
    </row>
    <row r="41" spans="1:14" ht="27" x14ac:dyDescent="0.3">
      <c r="A41">
        <v>1037</v>
      </c>
      <c r="B41" t="s">
        <v>177</v>
      </c>
      <c r="C41" t="s">
        <v>178</v>
      </c>
      <c r="D41" s="7" t="s">
        <v>213</v>
      </c>
      <c r="E41" s="4" t="s">
        <v>13</v>
      </c>
      <c r="F41" s="9" t="s">
        <v>10</v>
      </c>
      <c r="G41">
        <v>38</v>
      </c>
      <c r="H41" s="4">
        <v>38</v>
      </c>
      <c r="I41" s="4" t="s">
        <v>934</v>
      </c>
      <c r="J41" s="4" t="str">
        <f t="shared" si="0"/>
        <v>1101103193</v>
      </c>
      <c r="K41" s="1" t="s">
        <v>12</v>
      </c>
      <c r="L41" s="4" t="s">
        <v>11</v>
      </c>
      <c r="M41" s="8" t="s">
        <v>840</v>
      </c>
      <c r="N41" s="4" t="str">
        <f t="shared" si="1"/>
        <v>('1037','RPT_009', 'LabaTrialBalance3rdSegment', '1101103193 - Mandiri - KCP Praya - IDR - 303 - MGPA', 'Aset', 'Aset Lancar', '38', '38', 'AND ma.main_account_id IN (1101103193)', 'A', 'Kas dan Setara Kas', 0, 0),</v>
      </c>
    </row>
    <row r="42" spans="1:14" ht="27" x14ac:dyDescent="0.3">
      <c r="A42">
        <v>1038</v>
      </c>
      <c r="B42" t="s">
        <v>177</v>
      </c>
      <c r="C42" t="s">
        <v>178</v>
      </c>
      <c r="D42" s="7" t="s">
        <v>214</v>
      </c>
      <c r="E42" s="4" t="s">
        <v>13</v>
      </c>
      <c r="F42" s="9" t="s">
        <v>10</v>
      </c>
      <c r="G42">
        <v>39</v>
      </c>
      <c r="H42" s="4">
        <v>39</v>
      </c>
      <c r="I42" s="4" t="s">
        <v>934</v>
      </c>
      <c r="J42" s="4" t="str">
        <f t="shared" si="0"/>
        <v>1101103257</v>
      </c>
      <c r="K42" s="1" t="s">
        <v>12</v>
      </c>
      <c r="L42" s="4" t="s">
        <v>11</v>
      </c>
      <c r="M42" s="8" t="s">
        <v>840</v>
      </c>
      <c r="N42" s="4" t="str">
        <f t="shared" si="1"/>
        <v>('1038','RPT_009', 'LabaTrialBalance3rdSegment', '1101103257 - Mandiri - KCP Praya - IDR - 407 - MGPA', 'Aset', 'Aset Lancar', '39', '39', 'AND ma.main_account_id IN (1101103257)', 'A', 'Kas dan Setara Kas', 0, 0),</v>
      </c>
    </row>
    <row r="43" spans="1:14" ht="27" x14ac:dyDescent="0.3">
      <c r="A43">
        <v>1039</v>
      </c>
      <c r="B43" t="s">
        <v>177</v>
      </c>
      <c r="C43" t="s">
        <v>178</v>
      </c>
      <c r="D43" s="7" t="s">
        <v>215</v>
      </c>
      <c r="E43" s="4" t="s">
        <v>13</v>
      </c>
      <c r="F43" s="9" t="s">
        <v>10</v>
      </c>
      <c r="G43">
        <v>40</v>
      </c>
      <c r="H43" s="4">
        <v>40</v>
      </c>
      <c r="I43" s="4" t="s">
        <v>934</v>
      </c>
      <c r="J43" s="4" t="str">
        <f t="shared" si="0"/>
        <v>1101103326</v>
      </c>
      <c r="K43" s="1" t="s">
        <v>12</v>
      </c>
      <c r="L43" s="4" t="s">
        <v>11</v>
      </c>
      <c r="M43" s="8" t="s">
        <v>840</v>
      </c>
      <c r="N43" s="4" t="str">
        <f t="shared" si="1"/>
        <v>('1039','RPT_009', 'LabaTrialBalance3rdSegment', '1101103326 - Mandiri - KCP Praya - IDR - 607 - MGPA', 'Aset', 'Aset Lancar', '40', '40', 'AND ma.main_account_id IN (1101103326)', 'A', 'Kas dan Setara Kas', 0, 0),</v>
      </c>
    </row>
    <row r="44" spans="1:14" ht="27" x14ac:dyDescent="0.3">
      <c r="A44">
        <v>1040</v>
      </c>
      <c r="B44" t="s">
        <v>177</v>
      </c>
      <c r="C44" t="s">
        <v>178</v>
      </c>
      <c r="D44" s="7" t="s">
        <v>216</v>
      </c>
      <c r="E44" s="4" t="s">
        <v>13</v>
      </c>
      <c r="F44" s="9" t="s">
        <v>10</v>
      </c>
      <c r="G44">
        <v>41</v>
      </c>
      <c r="H44" s="4">
        <v>41</v>
      </c>
      <c r="I44" s="4" t="s">
        <v>934</v>
      </c>
      <c r="J44" s="4" t="str">
        <f t="shared" si="0"/>
        <v>1101103356</v>
      </c>
      <c r="K44" s="1" t="s">
        <v>12</v>
      </c>
      <c r="L44" s="4" t="s">
        <v>11</v>
      </c>
      <c r="M44" s="8" t="s">
        <v>840</v>
      </c>
      <c r="N44" s="4" t="str">
        <f t="shared" si="1"/>
        <v>('1040','RPT_009', 'LabaTrialBalance3rdSegment', '1101103356 - Mandiri - KC Nusa Dua - IDR - 677 - INU', 'Aset', 'Aset Lancar', '41', '41', 'AND ma.main_account_id IN (1101103356)', 'A', 'Kas dan Setara Kas', 0, 0),</v>
      </c>
    </row>
    <row r="45" spans="1:14" ht="27" x14ac:dyDescent="0.3">
      <c r="A45">
        <v>1041</v>
      </c>
      <c r="B45" t="s">
        <v>177</v>
      </c>
      <c r="C45" t="s">
        <v>178</v>
      </c>
      <c r="D45" s="7" t="s">
        <v>217</v>
      </c>
      <c r="E45" s="4" t="s">
        <v>13</v>
      </c>
      <c r="F45" s="9" t="s">
        <v>10</v>
      </c>
      <c r="G45">
        <v>42</v>
      </c>
      <c r="H45" s="4">
        <v>42</v>
      </c>
      <c r="I45" s="4" t="s">
        <v>934</v>
      </c>
      <c r="J45" s="4" t="str">
        <f t="shared" si="0"/>
        <v>1101103370</v>
      </c>
      <c r="K45" s="1" t="s">
        <v>12</v>
      </c>
      <c r="L45" s="4" t="s">
        <v>11</v>
      </c>
      <c r="M45" s="8" t="s">
        <v>840</v>
      </c>
      <c r="N45" s="4" t="str">
        <f t="shared" si="1"/>
        <v>('1041','RPT_009', 'LabaTrialBalance3rdSegment', '1101103370 - Mandiri - KC Thamrin - IDR - 705 - INX', 'Aset', 'Aset Lancar', '42', '42', 'AND ma.main_account_id IN (1101103370)', 'A', 'Kas dan Setara Kas', 0, 0),</v>
      </c>
    </row>
    <row r="46" spans="1:14" ht="27" x14ac:dyDescent="0.3">
      <c r="A46">
        <v>1042</v>
      </c>
      <c r="B46" t="s">
        <v>177</v>
      </c>
      <c r="C46" t="s">
        <v>178</v>
      </c>
      <c r="D46" s="7" t="s">
        <v>218</v>
      </c>
      <c r="E46" s="4" t="s">
        <v>13</v>
      </c>
      <c r="F46" s="9" t="s">
        <v>10</v>
      </c>
      <c r="G46">
        <v>43</v>
      </c>
      <c r="H46" s="4">
        <v>43</v>
      </c>
      <c r="I46" s="4" t="s">
        <v>934</v>
      </c>
      <c r="J46" s="4" t="str">
        <f t="shared" si="0"/>
        <v>1101103398</v>
      </c>
      <c r="K46" s="1" t="s">
        <v>12</v>
      </c>
      <c r="L46" s="4" t="s">
        <v>11</v>
      </c>
      <c r="M46" s="8" t="s">
        <v>840</v>
      </c>
      <c r="N46" s="4" t="str">
        <f t="shared" si="1"/>
        <v>('1042','RPT_009', 'LabaTrialBalance3rdSegment', '1101103398 - Mandiri - KCP Praya - IDR - 782 - MGPA', 'Aset', 'Aset Lancar', '43', '43', 'AND ma.main_account_id IN (1101103398)', 'A', 'Kas dan Setara Kas', 0, 0),</v>
      </c>
    </row>
    <row r="47" spans="1:14" ht="27" x14ac:dyDescent="0.3">
      <c r="A47">
        <v>1043</v>
      </c>
      <c r="B47" t="s">
        <v>177</v>
      </c>
      <c r="C47" t="s">
        <v>178</v>
      </c>
      <c r="D47" s="7" t="s">
        <v>219</v>
      </c>
      <c r="E47" s="4" t="s">
        <v>13</v>
      </c>
      <c r="F47" s="9" t="s">
        <v>10</v>
      </c>
      <c r="G47">
        <v>44</v>
      </c>
      <c r="H47" s="4">
        <v>44</v>
      </c>
      <c r="I47" s="4" t="s">
        <v>934</v>
      </c>
      <c r="J47" s="4" t="str">
        <f t="shared" si="0"/>
        <v>1101103399</v>
      </c>
      <c r="K47" s="1" t="s">
        <v>12</v>
      </c>
      <c r="L47" s="4" t="s">
        <v>11</v>
      </c>
      <c r="M47" s="8" t="s">
        <v>840</v>
      </c>
      <c r="N47" s="4" t="str">
        <f t="shared" si="1"/>
        <v>('1043','RPT_009', 'LabaTrialBalance3rdSegment', '1101103399 - Mandiri - KCP Praya - IDR - 783 - MGPA', 'Aset', 'Aset Lancar', '44', '44', 'AND ma.main_account_id IN (1101103399)', 'A', 'Kas dan Setara Kas', 0, 0),</v>
      </c>
    </row>
    <row r="48" spans="1:14" ht="27" x14ac:dyDescent="0.3">
      <c r="A48">
        <v>1044</v>
      </c>
      <c r="B48" t="s">
        <v>177</v>
      </c>
      <c r="C48" t="s">
        <v>178</v>
      </c>
      <c r="D48" s="7" t="s">
        <v>220</v>
      </c>
      <c r="E48" s="4" t="s">
        <v>13</v>
      </c>
      <c r="F48" s="9" t="s">
        <v>10</v>
      </c>
      <c r="G48">
        <v>45</v>
      </c>
      <c r="H48" s="4">
        <v>45</v>
      </c>
      <c r="I48" s="4" t="s">
        <v>934</v>
      </c>
      <c r="J48" s="4" t="str">
        <f t="shared" si="0"/>
        <v>1101103405</v>
      </c>
      <c r="K48" s="1" t="s">
        <v>12</v>
      </c>
      <c r="L48" s="4" t="s">
        <v>11</v>
      </c>
      <c r="M48" s="8" t="s">
        <v>840</v>
      </c>
      <c r="N48" s="4" t="str">
        <f t="shared" si="1"/>
        <v>('1044','RPT_009', 'LabaTrialBalance3rdSegment', '1101103405 - Mandiri - KCP Praya - IDR - 791 - MGPA', 'Aset', 'Aset Lancar', '45', '45', 'AND ma.main_account_id IN (1101103405)', 'A', 'Kas dan Setara Kas', 0, 0),</v>
      </c>
    </row>
    <row r="49" spans="1:14" ht="27" x14ac:dyDescent="0.3">
      <c r="A49">
        <v>1045</v>
      </c>
      <c r="B49" t="s">
        <v>177</v>
      </c>
      <c r="C49" t="s">
        <v>178</v>
      </c>
      <c r="D49" s="7" t="s">
        <v>221</v>
      </c>
      <c r="E49" s="4" t="s">
        <v>13</v>
      </c>
      <c r="F49" s="9" t="s">
        <v>10</v>
      </c>
      <c r="G49">
        <v>46</v>
      </c>
      <c r="H49" s="4">
        <v>46</v>
      </c>
      <c r="I49" s="4" t="s">
        <v>934</v>
      </c>
      <c r="J49" s="4" t="str">
        <f t="shared" si="0"/>
        <v>1101103438</v>
      </c>
      <c r="K49" s="1" t="s">
        <v>12</v>
      </c>
      <c r="L49" s="4" t="s">
        <v>11</v>
      </c>
      <c r="M49" s="8" t="s">
        <v>840</v>
      </c>
      <c r="N49" s="4" t="str">
        <f t="shared" si="1"/>
        <v>('1045','RPT_009', 'LabaTrialBalance3rdSegment', '1101103438 - Mandiri - KC Nusa Dua - IDR - 855 - INP', 'Aset', 'Aset Lancar', '46', '46', 'AND ma.main_account_id IN (1101103438)', 'A', 'Kas dan Setara Kas', 0, 0),</v>
      </c>
    </row>
    <row r="50" spans="1:14" ht="27" x14ac:dyDescent="0.3">
      <c r="A50">
        <v>1046</v>
      </c>
      <c r="B50" t="s">
        <v>177</v>
      </c>
      <c r="C50" t="s">
        <v>178</v>
      </c>
      <c r="D50" s="7" t="s">
        <v>222</v>
      </c>
      <c r="E50" s="4" t="s">
        <v>13</v>
      </c>
      <c r="F50" s="9" t="s">
        <v>10</v>
      </c>
      <c r="G50">
        <v>47</v>
      </c>
      <c r="H50" s="4">
        <v>47</v>
      </c>
      <c r="I50" s="4" t="s">
        <v>934</v>
      </c>
      <c r="J50" s="4" t="str">
        <f t="shared" si="0"/>
        <v>1101103439</v>
      </c>
      <c r="K50" s="1" t="s">
        <v>12</v>
      </c>
      <c r="L50" s="4" t="s">
        <v>11</v>
      </c>
      <c r="M50" s="8" t="s">
        <v>840</v>
      </c>
      <c r="N50" s="4" t="str">
        <f t="shared" si="1"/>
        <v>('1046','RPT_009', 'LabaTrialBalance3rdSegment', '1101103439 - Mandiri - KC Nusa Dua - IDR - 855 - INU', 'Aset', 'Aset Lancar', '47', '47', 'AND ma.main_account_id IN (1101103439)', 'A', 'Kas dan Setara Kas', 0, 0),</v>
      </c>
    </row>
    <row r="51" spans="1:14" ht="27" x14ac:dyDescent="0.3">
      <c r="A51">
        <v>1047</v>
      </c>
      <c r="B51" t="s">
        <v>177</v>
      </c>
      <c r="C51" t="s">
        <v>178</v>
      </c>
      <c r="D51" s="7" t="s">
        <v>223</v>
      </c>
      <c r="E51" s="4" t="s">
        <v>13</v>
      </c>
      <c r="F51" s="9" t="s">
        <v>10</v>
      </c>
      <c r="G51">
        <v>48</v>
      </c>
      <c r="H51" s="4">
        <v>48</v>
      </c>
      <c r="I51" s="4" t="s">
        <v>934</v>
      </c>
      <c r="J51" s="4" t="str">
        <f t="shared" si="0"/>
        <v>1101103440</v>
      </c>
      <c r="K51" s="1" t="s">
        <v>12</v>
      </c>
      <c r="L51" s="4" t="s">
        <v>11</v>
      </c>
      <c r="M51" s="8" t="s">
        <v>840</v>
      </c>
      <c r="N51" s="4" t="str">
        <f t="shared" si="1"/>
        <v>('1047','RPT_009', 'LabaTrialBalance3rdSegment', '1101103440 - Mandiri - KCP Praya - IDR - 855 - ITDC', 'Aset', 'Aset Lancar', '48', '48', 'AND ma.main_account_id IN (1101103440)', 'A', 'Kas dan Setara Kas', 0, 0),</v>
      </c>
    </row>
    <row r="52" spans="1:14" ht="27" x14ac:dyDescent="0.3">
      <c r="A52">
        <v>1048</v>
      </c>
      <c r="B52" t="s">
        <v>177</v>
      </c>
      <c r="C52" t="s">
        <v>178</v>
      </c>
      <c r="D52" s="7" t="s">
        <v>224</v>
      </c>
      <c r="E52" s="4" t="s">
        <v>13</v>
      </c>
      <c r="F52" s="9" t="s">
        <v>10</v>
      </c>
      <c r="G52">
        <v>49</v>
      </c>
      <c r="H52" s="4">
        <v>49</v>
      </c>
      <c r="I52" s="4" t="s">
        <v>934</v>
      </c>
      <c r="J52" s="4" t="str">
        <f t="shared" si="0"/>
        <v>1101103441</v>
      </c>
      <c r="K52" s="1" t="s">
        <v>12</v>
      </c>
      <c r="L52" s="4" t="s">
        <v>11</v>
      </c>
      <c r="M52" s="8" t="s">
        <v>840</v>
      </c>
      <c r="N52" s="4" t="str">
        <f t="shared" si="1"/>
        <v>('1048','RPT_009', 'LabaTrialBalance3rdSegment', '1101103441 - Mandiri - KCP Praya - IDR - 855 - MMN', 'Aset', 'Aset Lancar', '49', '49', 'AND ma.main_account_id IN (1101103441)', 'A', 'Kas dan Setara Kas', 0, 0),</v>
      </c>
    </row>
    <row r="53" spans="1:14" ht="27" x14ac:dyDescent="0.3">
      <c r="A53">
        <v>1049</v>
      </c>
      <c r="B53" t="s">
        <v>177</v>
      </c>
      <c r="C53" t="s">
        <v>178</v>
      </c>
      <c r="D53" s="7" t="s">
        <v>225</v>
      </c>
      <c r="E53" s="4" t="s">
        <v>13</v>
      </c>
      <c r="F53" s="9" t="s">
        <v>10</v>
      </c>
      <c r="G53">
        <v>50</v>
      </c>
      <c r="H53" s="4">
        <v>50</v>
      </c>
      <c r="I53" s="4" t="s">
        <v>934</v>
      </c>
      <c r="J53" s="4" t="str">
        <f t="shared" si="0"/>
        <v>1101103458</v>
      </c>
      <c r="K53" s="1" t="s">
        <v>12</v>
      </c>
      <c r="L53" s="4" t="s">
        <v>11</v>
      </c>
      <c r="M53" s="8" t="s">
        <v>840</v>
      </c>
      <c r="N53" s="4" t="str">
        <f t="shared" si="1"/>
        <v>('1049','RPT_009', 'LabaTrialBalance3rdSegment', '1101103458 - Mandiri - KC Thamrin - IDR - 892 - INX', 'Aset', 'Aset Lancar', '50', '50', 'AND ma.main_account_id IN (1101103458)', 'A', 'Kas dan Setara Kas', 0, 0),</v>
      </c>
    </row>
    <row r="54" spans="1:14" ht="27" x14ac:dyDescent="0.3">
      <c r="A54">
        <v>1050</v>
      </c>
      <c r="B54" t="s">
        <v>177</v>
      </c>
      <c r="C54" t="s">
        <v>178</v>
      </c>
      <c r="D54" s="7" t="s">
        <v>226</v>
      </c>
      <c r="E54" s="4" t="s">
        <v>13</v>
      </c>
      <c r="F54" s="9" t="s">
        <v>10</v>
      </c>
      <c r="G54">
        <v>51</v>
      </c>
      <c r="H54" s="4">
        <v>51</v>
      </c>
      <c r="I54" s="4" t="s">
        <v>934</v>
      </c>
      <c r="J54" s="4" t="str">
        <f t="shared" si="0"/>
        <v>1101103460</v>
      </c>
      <c r="K54" s="1" t="s">
        <v>12</v>
      </c>
      <c r="L54" s="4" t="s">
        <v>11</v>
      </c>
      <c r="M54" s="8" t="s">
        <v>840</v>
      </c>
      <c r="N54" s="4" t="str">
        <f t="shared" si="1"/>
        <v>('1050','RPT_009', 'LabaTrialBalance3rdSegment', '1101103460 - Mandiri - KCP Praya - IDR - 895 - MGPA', 'Aset', 'Aset Lancar', '51', '51', 'AND ma.main_account_id IN (1101103460)', 'A', 'Kas dan Setara Kas', 0, 0),</v>
      </c>
    </row>
    <row r="55" spans="1:14" ht="27" x14ac:dyDescent="0.3">
      <c r="A55">
        <v>1051</v>
      </c>
      <c r="B55" t="s">
        <v>177</v>
      </c>
      <c r="C55" t="s">
        <v>178</v>
      </c>
      <c r="D55" s="7" t="s">
        <v>227</v>
      </c>
      <c r="E55" s="4" t="s">
        <v>13</v>
      </c>
      <c r="F55" s="9" t="s">
        <v>10</v>
      </c>
      <c r="G55">
        <v>52</v>
      </c>
      <c r="H55" s="4">
        <v>52</v>
      </c>
      <c r="I55" s="4" t="s">
        <v>934</v>
      </c>
      <c r="J55" s="4" t="str">
        <f t="shared" si="0"/>
        <v>1101103461</v>
      </c>
      <c r="K55" s="1" t="s">
        <v>12</v>
      </c>
      <c r="L55" s="4" t="s">
        <v>11</v>
      </c>
      <c r="M55" s="8" t="s">
        <v>840</v>
      </c>
      <c r="N55" s="4" t="str">
        <f t="shared" si="1"/>
        <v>('1051','RPT_009', 'LabaTrialBalance3rdSegment', '1101103461 - Mandiri - KCP Praya - IDR - 896 - MGPA', 'Aset', 'Aset Lancar', '52', '52', 'AND ma.main_account_id IN (1101103461)', 'A', 'Kas dan Setara Kas', 0, 0),</v>
      </c>
    </row>
    <row r="56" spans="1:14" ht="27" x14ac:dyDescent="0.3">
      <c r="A56">
        <v>1052</v>
      </c>
      <c r="B56" t="s">
        <v>177</v>
      </c>
      <c r="C56" t="s">
        <v>178</v>
      </c>
      <c r="D56" s="7" t="s">
        <v>228</v>
      </c>
      <c r="E56" s="4" t="s">
        <v>13</v>
      </c>
      <c r="F56" s="9" t="s">
        <v>10</v>
      </c>
      <c r="G56">
        <v>53</v>
      </c>
      <c r="H56" s="4">
        <v>53</v>
      </c>
      <c r="I56" s="4" t="s">
        <v>934</v>
      </c>
      <c r="J56" s="4" t="str">
        <f t="shared" si="0"/>
        <v>1101103462</v>
      </c>
      <c r="K56" s="1" t="s">
        <v>12</v>
      </c>
      <c r="L56" s="4" t="s">
        <v>11</v>
      </c>
      <c r="M56" s="8" t="s">
        <v>840</v>
      </c>
      <c r="N56" s="4" t="str">
        <f t="shared" si="1"/>
        <v>('1052','RPT_009', 'LabaTrialBalance3rdSegment', '1101103462 - Mandiri - KCP Praya - IDR - 897 - MGPA', 'Aset', 'Aset Lancar', '53', '53', 'AND ma.main_account_id IN (1101103462)', 'A', 'Kas dan Setara Kas', 0, 0),</v>
      </c>
    </row>
    <row r="57" spans="1:14" ht="27" x14ac:dyDescent="0.3">
      <c r="A57">
        <v>1053</v>
      </c>
      <c r="B57" t="s">
        <v>177</v>
      </c>
      <c r="C57" t="s">
        <v>178</v>
      </c>
      <c r="D57" s="7" t="s">
        <v>229</v>
      </c>
      <c r="E57" s="4" t="s">
        <v>13</v>
      </c>
      <c r="F57" s="9" t="s">
        <v>10</v>
      </c>
      <c r="G57">
        <v>54</v>
      </c>
      <c r="H57" s="4">
        <v>54</v>
      </c>
      <c r="I57" s="4" t="s">
        <v>934</v>
      </c>
      <c r="J57" s="4" t="str">
        <f t="shared" si="0"/>
        <v>1101103463</v>
      </c>
      <c r="K57" s="1" t="s">
        <v>12</v>
      </c>
      <c r="L57" s="4" t="s">
        <v>11</v>
      </c>
      <c r="M57" s="8" t="s">
        <v>840</v>
      </c>
      <c r="N57" s="4" t="str">
        <f t="shared" si="1"/>
        <v>('1053','RPT_009', 'LabaTrialBalance3rdSegment', '1101103463 - Mandiri - KCP Praya - IDR - 903 - MGPA', 'Aset', 'Aset Lancar', '54', '54', 'AND ma.main_account_id IN (1101103463)', 'A', 'Kas dan Setara Kas', 0, 0),</v>
      </c>
    </row>
    <row r="58" spans="1:14" ht="27" x14ac:dyDescent="0.3">
      <c r="A58">
        <v>1054</v>
      </c>
      <c r="B58" t="s">
        <v>177</v>
      </c>
      <c r="C58" t="s">
        <v>178</v>
      </c>
      <c r="D58" s="7" t="s">
        <v>230</v>
      </c>
      <c r="E58" s="4" t="s">
        <v>13</v>
      </c>
      <c r="F58" s="9" t="s">
        <v>10</v>
      </c>
      <c r="G58">
        <v>55</v>
      </c>
      <c r="H58" s="4">
        <v>55</v>
      </c>
      <c r="I58" s="4" t="s">
        <v>934</v>
      </c>
      <c r="J58" s="4" t="str">
        <f t="shared" si="0"/>
        <v>1101103466</v>
      </c>
      <c r="K58" s="1" t="s">
        <v>12</v>
      </c>
      <c r="L58" s="4" t="s">
        <v>11</v>
      </c>
      <c r="M58" s="8" t="s">
        <v>840</v>
      </c>
      <c r="N58" s="4" t="str">
        <f t="shared" si="1"/>
        <v>('1054','RPT_009', 'LabaTrialBalance3rdSegment', '1101103466 - Mandiri - KCP Praya - IDR - 909 - MGPA', 'Aset', 'Aset Lancar', '55', '55', 'AND ma.main_account_id IN (1101103466)', 'A', 'Kas dan Setara Kas', 0, 0),</v>
      </c>
    </row>
    <row r="59" spans="1:14" ht="27" x14ac:dyDescent="0.3">
      <c r="A59">
        <v>1055</v>
      </c>
      <c r="B59" t="s">
        <v>177</v>
      </c>
      <c r="C59" t="s">
        <v>178</v>
      </c>
      <c r="D59" s="7" t="s">
        <v>231</v>
      </c>
      <c r="E59" s="4" t="s">
        <v>13</v>
      </c>
      <c r="F59" s="9" t="s">
        <v>10</v>
      </c>
      <c r="G59">
        <v>56</v>
      </c>
      <c r="H59" s="4">
        <v>56</v>
      </c>
      <c r="I59" s="4" t="s">
        <v>934</v>
      </c>
      <c r="J59" s="4" t="str">
        <f t="shared" si="0"/>
        <v>1101103474</v>
      </c>
      <c r="K59" s="1" t="s">
        <v>12</v>
      </c>
      <c r="L59" s="4" t="s">
        <v>11</v>
      </c>
      <c r="M59" s="8" t="s">
        <v>840</v>
      </c>
      <c r="N59" s="4" t="str">
        <f t="shared" si="1"/>
        <v>('1055','RPT_009', 'LabaTrialBalance3rdSegment', '1101103474 - Mandiri - KCP Praya - IDR - 937 - MGPA', 'Aset', 'Aset Lancar', '56', '56', 'AND ma.main_account_id IN (1101103474)', 'A', 'Kas dan Setara Kas', 0, 0),</v>
      </c>
    </row>
    <row r="60" spans="1:14" ht="27" x14ac:dyDescent="0.3">
      <c r="A60">
        <v>1056</v>
      </c>
      <c r="B60" t="s">
        <v>177</v>
      </c>
      <c r="C60" t="s">
        <v>178</v>
      </c>
      <c r="D60" s="7" t="s">
        <v>232</v>
      </c>
      <c r="E60" s="4" t="s">
        <v>13</v>
      </c>
      <c r="F60" s="9" t="s">
        <v>10</v>
      </c>
      <c r="G60">
        <v>57</v>
      </c>
      <c r="H60" s="4">
        <v>57</v>
      </c>
      <c r="I60" s="4" t="s">
        <v>934</v>
      </c>
      <c r="J60" s="4" t="str">
        <f t="shared" si="0"/>
        <v>1101103483</v>
      </c>
      <c r="K60" s="1" t="s">
        <v>12</v>
      </c>
      <c r="L60" s="4" t="s">
        <v>11</v>
      </c>
      <c r="M60" s="8" t="s">
        <v>840</v>
      </c>
      <c r="N60" s="4" t="str">
        <f t="shared" si="1"/>
        <v>('1056','RPT_009', 'LabaTrialBalance3rdSegment', '1101103483 - Mandiri - KCP Praya - IDR - 989 - MGPA', 'Aset', 'Aset Lancar', '57', '57', 'AND ma.main_account_id IN (1101103483)', 'A', 'Kas dan Setara Kas', 0, 0),</v>
      </c>
    </row>
    <row r="61" spans="1:14" ht="27" x14ac:dyDescent="0.3">
      <c r="A61">
        <v>1057</v>
      </c>
      <c r="B61" t="s">
        <v>177</v>
      </c>
      <c r="C61" t="s">
        <v>178</v>
      </c>
      <c r="D61" s="7" t="s">
        <v>233</v>
      </c>
      <c r="E61" s="4" t="s">
        <v>13</v>
      </c>
      <c r="F61" s="9" t="s">
        <v>10</v>
      </c>
      <c r="G61">
        <v>58</v>
      </c>
      <c r="H61" s="4">
        <v>58</v>
      </c>
      <c r="I61" s="4" t="s">
        <v>934</v>
      </c>
      <c r="J61" s="4" t="str">
        <f t="shared" si="0"/>
        <v>1101103486</v>
      </c>
      <c r="K61" s="1" t="s">
        <v>12</v>
      </c>
      <c r="L61" s="4" t="s">
        <v>11</v>
      </c>
      <c r="M61" s="8" t="s">
        <v>840</v>
      </c>
      <c r="N61" s="4" t="str">
        <f t="shared" si="1"/>
        <v>('1057','RPT_009', 'LabaTrialBalance3rdSegment', '1101103486 - Mandiri - KC Thamrin - IDR - 991 - INX', 'Aset', 'Aset Lancar', '58', '58', 'AND ma.main_account_id IN (1101103486)', 'A', 'Kas dan Setara Kas', 0, 0),</v>
      </c>
    </row>
    <row r="62" spans="1:14" ht="27" x14ac:dyDescent="0.3">
      <c r="A62">
        <v>1058</v>
      </c>
      <c r="B62" t="s">
        <v>177</v>
      </c>
      <c r="C62" t="s">
        <v>178</v>
      </c>
      <c r="D62" s="7" t="s">
        <v>234</v>
      </c>
      <c r="E62" s="4" t="s">
        <v>13</v>
      </c>
      <c r="F62" s="9" t="s">
        <v>10</v>
      </c>
      <c r="G62">
        <v>59</v>
      </c>
      <c r="H62" s="4">
        <v>59</v>
      </c>
      <c r="I62" s="4" t="s">
        <v>934</v>
      </c>
      <c r="J62" s="4" t="str">
        <f t="shared" si="0"/>
        <v>1101103487</v>
      </c>
      <c r="K62" s="1" t="s">
        <v>12</v>
      </c>
      <c r="L62" s="4" t="s">
        <v>11</v>
      </c>
      <c r="M62" s="8" t="s">
        <v>840</v>
      </c>
      <c r="N62" s="4" t="str">
        <f t="shared" si="1"/>
        <v>('1058','RPT_009', 'LabaTrialBalance3rdSegment', '1101103487 - Mandiri - KC Thamrin - IDR - 992 - INX', 'Aset', 'Aset Lancar', '59', '59', 'AND ma.main_account_id IN (1101103487)', 'A', 'Kas dan Setara Kas', 0, 0),</v>
      </c>
    </row>
    <row r="63" spans="1:14" ht="27" x14ac:dyDescent="0.3">
      <c r="A63">
        <v>1059</v>
      </c>
      <c r="B63" t="s">
        <v>177</v>
      </c>
      <c r="C63" t="s">
        <v>178</v>
      </c>
      <c r="D63" s="7" t="s">
        <v>235</v>
      </c>
      <c r="E63" s="4" t="s">
        <v>13</v>
      </c>
      <c r="F63" s="9" t="s">
        <v>10</v>
      </c>
      <c r="G63">
        <v>60</v>
      </c>
      <c r="H63" s="4">
        <v>60</v>
      </c>
      <c r="I63" s="4" t="s">
        <v>934</v>
      </c>
      <c r="J63" s="4" t="str">
        <f t="shared" si="0"/>
        <v>1101103491</v>
      </c>
      <c r="K63" s="1" t="s">
        <v>12</v>
      </c>
      <c r="L63" s="4" t="s">
        <v>11</v>
      </c>
      <c r="M63" s="8" t="s">
        <v>840</v>
      </c>
      <c r="N63" s="4" t="str">
        <f t="shared" si="1"/>
        <v>('1059','RPT_009', 'LabaTrialBalance3rdSegment', '1101103491 - Mandiri - KC Thamrin - IDR - 996 - INX', 'Aset', 'Aset Lancar', '60', '60', 'AND ma.main_account_id IN (1101103491)', 'A', 'Kas dan Setara Kas', 0, 0),</v>
      </c>
    </row>
    <row r="64" spans="1:14" ht="27" x14ac:dyDescent="0.3">
      <c r="A64">
        <v>1060</v>
      </c>
      <c r="B64" t="s">
        <v>177</v>
      </c>
      <c r="C64" t="s">
        <v>178</v>
      </c>
      <c r="D64" s="7" t="s">
        <v>236</v>
      </c>
      <c r="E64" s="4" t="s">
        <v>13</v>
      </c>
      <c r="F64" s="9" t="s">
        <v>10</v>
      </c>
      <c r="G64">
        <v>61</v>
      </c>
      <c r="H64" s="4">
        <v>61</v>
      </c>
      <c r="I64" s="4" t="s">
        <v>934</v>
      </c>
      <c r="J64" s="4" t="str">
        <f t="shared" si="0"/>
        <v>1101103501</v>
      </c>
      <c r="K64" s="1" t="s">
        <v>12</v>
      </c>
      <c r="L64" s="4" t="s">
        <v>11</v>
      </c>
      <c r="M64" s="8" t="s">
        <v>840</v>
      </c>
      <c r="N64" s="4" t="str">
        <f t="shared" si="1"/>
        <v>('1060','RPT_009', 'LabaTrialBalance3rdSegment', '1101103501 - Mandiri - KCP Nusa Dua - IDR - 202 - ITDC', 'Aset', 'Aset Lancar', '61', '61', 'AND ma.main_account_id IN (1101103501)', 'A', 'Kas dan Setara Kas', 0, 0),</v>
      </c>
    </row>
    <row r="65" spans="1:14" ht="27" x14ac:dyDescent="0.3">
      <c r="A65">
        <v>1061</v>
      </c>
      <c r="B65" t="s">
        <v>177</v>
      </c>
      <c r="C65" t="s">
        <v>178</v>
      </c>
      <c r="D65" s="7" t="s">
        <v>237</v>
      </c>
      <c r="E65" s="4" t="s">
        <v>13</v>
      </c>
      <c r="F65" s="9" t="s">
        <v>10</v>
      </c>
      <c r="G65">
        <v>62</v>
      </c>
      <c r="H65" s="4">
        <v>62</v>
      </c>
      <c r="I65" s="4" t="s">
        <v>934</v>
      </c>
      <c r="J65" s="4" t="str">
        <f t="shared" si="0"/>
        <v>1101103502</v>
      </c>
      <c r="K65" s="1" t="s">
        <v>12</v>
      </c>
      <c r="L65" s="4" t="s">
        <v>11</v>
      </c>
      <c r="M65" s="8" t="s">
        <v>840</v>
      </c>
      <c r="N65" s="4" t="str">
        <f t="shared" si="1"/>
        <v>('1061','RPT_009', 'LabaTrialBalance3rdSegment', '1101103502 - Mandiri - KCP Nusa Dua - IDR - 409 - ITDC', 'Aset', 'Aset Lancar', '62', '62', 'AND ma.main_account_id IN (1101103502)', 'A', 'Kas dan Setara Kas', 0, 0),</v>
      </c>
    </row>
    <row r="66" spans="1:14" ht="27" x14ac:dyDescent="0.3">
      <c r="A66">
        <v>1062</v>
      </c>
      <c r="B66" t="s">
        <v>177</v>
      </c>
      <c r="C66" t="s">
        <v>178</v>
      </c>
      <c r="D66" s="7" t="s">
        <v>238</v>
      </c>
      <c r="E66" s="4" t="s">
        <v>13</v>
      </c>
      <c r="F66" s="9" t="s">
        <v>10</v>
      </c>
      <c r="G66">
        <v>63</v>
      </c>
      <c r="H66" s="4">
        <v>63</v>
      </c>
      <c r="I66" s="4" t="s">
        <v>934</v>
      </c>
      <c r="J66" s="4" t="str">
        <f t="shared" si="0"/>
        <v>1101103503</v>
      </c>
      <c r="K66" s="1" t="s">
        <v>12</v>
      </c>
      <c r="L66" s="4" t="s">
        <v>11</v>
      </c>
      <c r="M66" s="8" t="s">
        <v>840</v>
      </c>
      <c r="N66" s="4" t="str">
        <f t="shared" si="1"/>
        <v>('1062','RPT_009', 'LabaTrialBalance3rdSegment', '1101103503 - Mandiri - KCP Nusa Dua - IDR - 001 - ITDC', 'Aset', 'Aset Lancar', '63', '63', 'AND ma.main_account_id IN (1101103503)', 'A', 'Kas dan Setara Kas', 0, 0),</v>
      </c>
    </row>
    <row r="67" spans="1:14" ht="27" x14ac:dyDescent="0.3">
      <c r="A67">
        <v>1063</v>
      </c>
      <c r="B67" t="s">
        <v>177</v>
      </c>
      <c r="C67" t="s">
        <v>178</v>
      </c>
      <c r="D67" s="7" t="s">
        <v>239</v>
      </c>
      <c r="E67" s="4" t="s">
        <v>13</v>
      </c>
      <c r="F67" s="9" t="s">
        <v>10</v>
      </c>
      <c r="G67">
        <v>64</v>
      </c>
      <c r="H67" s="4">
        <v>64</v>
      </c>
      <c r="I67" s="4" t="s">
        <v>934</v>
      </c>
      <c r="J67" s="4" t="str">
        <f t="shared" si="0"/>
        <v>1101103504</v>
      </c>
      <c r="K67" s="1" t="s">
        <v>12</v>
      </c>
      <c r="L67" s="4" t="s">
        <v>11</v>
      </c>
      <c r="M67" s="8" t="s">
        <v>840</v>
      </c>
      <c r="N67" s="4" t="str">
        <f t="shared" si="1"/>
        <v>('1063','RPT_009', 'LabaTrialBalance3rdSegment', '1101103504 - Mandiri - KCP Nusa Dua - IDR - 077 - ITDC', 'Aset', 'Aset Lancar', '64', '64', 'AND ma.main_account_id IN (1101103504)', 'A', 'Kas dan Setara Kas', 0, 0),</v>
      </c>
    </row>
    <row r="68" spans="1:14" ht="27" x14ac:dyDescent="0.3">
      <c r="A68">
        <v>1064</v>
      </c>
      <c r="B68" t="s">
        <v>177</v>
      </c>
      <c r="C68" t="s">
        <v>178</v>
      </c>
      <c r="D68" s="7" t="s">
        <v>240</v>
      </c>
      <c r="E68" s="4" t="s">
        <v>13</v>
      </c>
      <c r="F68" s="9" t="s">
        <v>10</v>
      </c>
      <c r="G68">
        <v>65</v>
      </c>
      <c r="H68" s="4">
        <v>65</v>
      </c>
      <c r="I68" s="4" t="s">
        <v>934</v>
      </c>
      <c r="J68" s="4" t="str">
        <f t="shared" ref="J68:J131" si="2">_xlfn.TEXTBEFORE(D68," -")</f>
        <v>1101103505</v>
      </c>
      <c r="K68" s="1" t="s">
        <v>12</v>
      </c>
      <c r="L68" s="4" t="s">
        <v>11</v>
      </c>
      <c r="M68" s="8" t="s">
        <v>840</v>
      </c>
      <c r="N68" s="4" t="str">
        <f t="shared" si="1"/>
        <v>('1064','RPT_009', 'LabaTrialBalance3rdSegment', '1101103505 - Mandiri - KCP Praya - IDR - 167 - ITDC', 'Aset', 'Aset Lancar', '65', '65', 'AND ma.main_account_id IN (1101103505)', 'A', 'Kas dan Setara Kas', 0, 0),</v>
      </c>
    </row>
    <row r="69" spans="1:14" ht="27" x14ac:dyDescent="0.3">
      <c r="A69">
        <v>1065</v>
      </c>
      <c r="B69" t="s">
        <v>177</v>
      </c>
      <c r="C69" t="s">
        <v>178</v>
      </c>
      <c r="D69" s="7" t="s">
        <v>241</v>
      </c>
      <c r="E69" s="4" t="s">
        <v>13</v>
      </c>
      <c r="F69" s="9" t="s">
        <v>10</v>
      </c>
      <c r="G69">
        <v>66</v>
      </c>
      <c r="H69" s="4">
        <v>66</v>
      </c>
      <c r="I69" s="4" t="s">
        <v>934</v>
      </c>
      <c r="J69" s="4" t="str">
        <f t="shared" si="2"/>
        <v>1101103506</v>
      </c>
      <c r="K69" s="1" t="s">
        <v>12</v>
      </c>
      <c r="L69" s="4" t="s">
        <v>11</v>
      </c>
      <c r="M69" s="8" t="s">
        <v>840</v>
      </c>
      <c r="N69" s="4" t="str">
        <f t="shared" ref="N69:N132" si="3">"('"&amp;A69&amp;"','"&amp;B69&amp;"', '"&amp;C69&amp;"', '"&amp;D69&amp;"', '"&amp;E69&amp;"', '"&amp;F69&amp;"', '"&amp;G69&amp;"', '"&amp;H69&amp;"', '"&amp;I69&amp;J69&amp;K69&amp;"', '"&amp;L69&amp;"', '"&amp;M69&amp;"', 0, 0),"</f>
        <v>('1065','RPT_009', 'LabaTrialBalance3rdSegment', '1101103506 - Mandiri - KCP Nusa Dua - IDR - 863 - ITDC', 'Aset', 'Aset Lancar', '66', '66', 'AND ma.main_account_id IN (1101103506)', 'A', 'Kas dan Setara Kas', 0, 0),</v>
      </c>
    </row>
    <row r="70" spans="1:14" ht="27" x14ac:dyDescent="0.3">
      <c r="A70">
        <v>1066</v>
      </c>
      <c r="B70" t="s">
        <v>177</v>
      </c>
      <c r="C70" t="s">
        <v>178</v>
      </c>
      <c r="D70" s="7" t="s">
        <v>242</v>
      </c>
      <c r="E70" s="4" t="s">
        <v>13</v>
      </c>
      <c r="F70" s="9" t="s">
        <v>10</v>
      </c>
      <c r="G70">
        <v>67</v>
      </c>
      <c r="H70" s="4">
        <v>67</v>
      </c>
      <c r="I70" s="4" t="s">
        <v>934</v>
      </c>
      <c r="J70" s="4" t="str">
        <f t="shared" si="2"/>
        <v>1101103507</v>
      </c>
      <c r="K70" s="1" t="s">
        <v>12</v>
      </c>
      <c r="L70" s="4" t="s">
        <v>11</v>
      </c>
      <c r="M70" s="8" t="s">
        <v>840</v>
      </c>
      <c r="N70" s="4" t="str">
        <f t="shared" si="3"/>
        <v>('1066','RPT_009', 'LabaTrialBalance3rdSegment', '1101103507 - Mandiri - KCP Praya - IDR - 022 - ITDC', 'Aset', 'Aset Lancar', '67', '67', 'AND ma.main_account_id IN (1101103507)', 'A', 'Kas dan Setara Kas', 0, 0),</v>
      </c>
    </row>
    <row r="71" spans="1:14" ht="27" x14ac:dyDescent="0.3">
      <c r="A71">
        <v>1067</v>
      </c>
      <c r="B71" t="s">
        <v>177</v>
      </c>
      <c r="C71" t="s">
        <v>178</v>
      </c>
      <c r="D71" s="7" t="s">
        <v>243</v>
      </c>
      <c r="E71" s="4" t="s">
        <v>13</v>
      </c>
      <c r="F71" s="9" t="s">
        <v>10</v>
      </c>
      <c r="G71">
        <v>68</v>
      </c>
      <c r="H71" s="4">
        <v>68</v>
      </c>
      <c r="I71" s="4" t="s">
        <v>934</v>
      </c>
      <c r="J71" s="4" t="str">
        <f t="shared" si="2"/>
        <v>1101103508</v>
      </c>
      <c r="K71" s="1" t="s">
        <v>12</v>
      </c>
      <c r="L71" s="4" t="s">
        <v>11</v>
      </c>
      <c r="M71" s="8" t="s">
        <v>840</v>
      </c>
      <c r="N71" s="4" t="str">
        <f t="shared" si="3"/>
        <v>('1067','RPT_009', 'LabaTrialBalance3rdSegment', '1101103508 - Mandiri - KCP Praya - IDR - 987 - ITDC', 'Aset', 'Aset Lancar', '68', '68', 'AND ma.main_account_id IN (1101103508)', 'A', 'Kas dan Setara Kas', 0, 0),</v>
      </c>
    </row>
    <row r="72" spans="1:14" ht="27" x14ac:dyDescent="0.3">
      <c r="A72">
        <v>1068</v>
      </c>
      <c r="B72" t="s">
        <v>177</v>
      </c>
      <c r="C72" t="s">
        <v>178</v>
      </c>
      <c r="D72" s="7" t="s">
        <v>244</v>
      </c>
      <c r="E72" s="4" t="s">
        <v>13</v>
      </c>
      <c r="F72" s="9" t="s">
        <v>10</v>
      </c>
      <c r="G72">
        <v>69</v>
      </c>
      <c r="H72" s="4">
        <v>69</v>
      </c>
      <c r="I72" s="4" t="s">
        <v>934</v>
      </c>
      <c r="J72" s="4" t="str">
        <f t="shared" si="2"/>
        <v>1101103509</v>
      </c>
      <c r="K72" s="1" t="s">
        <v>12</v>
      </c>
      <c r="L72" s="4" t="s">
        <v>11</v>
      </c>
      <c r="M72" s="8" t="s">
        <v>840</v>
      </c>
      <c r="N72" s="4" t="str">
        <f t="shared" si="3"/>
        <v>('1068','RPT_009', 'LabaTrialBalance3rdSegment', '1101103509 - Mandiri - KCP Praya - IDR - 070 - ITDC', 'Aset', 'Aset Lancar', '69', '69', 'AND ma.main_account_id IN (1101103509)', 'A', 'Kas dan Setara Kas', 0, 0),</v>
      </c>
    </row>
    <row r="73" spans="1:14" ht="27" x14ac:dyDescent="0.3">
      <c r="A73">
        <v>1069</v>
      </c>
      <c r="B73" t="s">
        <v>177</v>
      </c>
      <c r="C73" t="s">
        <v>178</v>
      </c>
      <c r="D73" s="7" t="s">
        <v>245</v>
      </c>
      <c r="E73" s="4" t="s">
        <v>13</v>
      </c>
      <c r="F73" s="9" t="s">
        <v>10</v>
      </c>
      <c r="G73">
        <v>70</v>
      </c>
      <c r="H73" s="4">
        <v>70</v>
      </c>
      <c r="I73" s="4" t="s">
        <v>934</v>
      </c>
      <c r="J73" s="4" t="str">
        <f t="shared" si="2"/>
        <v>1101103510</v>
      </c>
      <c r="K73" s="1" t="s">
        <v>12</v>
      </c>
      <c r="L73" s="4" t="s">
        <v>11</v>
      </c>
      <c r="M73" s="8" t="s">
        <v>840</v>
      </c>
      <c r="N73" s="4" t="str">
        <f t="shared" si="3"/>
        <v>('1069','RPT_009', 'LabaTrialBalance3rdSegment', '1101103510 - Mandiri - KCP Nusa Dua - IDR - 339 - ITDC', 'Aset', 'Aset Lancar', '70', '70', 'AND ma.main_account_id IN (1101103510)', 'A', 'Kas dan Setara Kas', 0, 0),</v>
      </c>
    </row>
    <row r="74" spans="1:14" ht="27" x14ac:dyDescent="0.3">
      <c r="A74">
        <v>1070</v>
      </c>
      <c r="B74" t="s">
        <v>177</v>
      </c>
      <c r="C74" t="s">
        <v>178</v>
      </c>
      <c r="D74" s="7" t="s">
        <v>246</v>
      </c>
      <c r="E74" s="4" t="s">
        <v>13</v>
      </c>
      <c r="F74" s="9" t="s">
        <v>10</v>
      </c>
      <c r="G74">
        <v>71</v>
      </c>
      <c r="H74" s="4">
        <v>71</v>
      </c>
      <c r="I74" s="4" t="s">
        <v>934</v>
      </c>
      <c r="J74" s="4" t="str">
        <f t="shared" si="2"/>
        <v>1101103511</v>
      </c>
      <c r="K74" s="1" t="s">
        <v>12</v>
      </c>
      <c r="L74" s="4" t="s">
        <v>11</v>
      </c>
      <c r="M74" s="8" t="s">
        <v>840</v>
      </c>
      <c r="N74" s="4" t="str">
        <f t="shared" si="3"/>
        <v>('1070','RPT_009', 'LabaTrialBalance3rdSegment', '1101103511 - Mandiri - KCP Nusa Dua - IDR - 321 - ITDC', 'Aset', 'Aset Lancar', '71', '71', 'AND ma.main_account_id IN (1101103511)', 'A', 'Kas dan Setara Kas', 0, 0),</v>
      </c>
    </row>
    <row r="75" spans="1:14" ht="27" x14ac:dyDescent="0.3">
      <c r="A75">
        <v>1071</v>
      </c>
      <c r="B75" t="s">
        <v>177</v>
      </c>
      <c r="C75" t="s">
        <v>178</v>
      </c>
      <c r="D75" s="7" t="s">
        <v>247</v>
      </c>
      <c r="E75" s="4" t="s">
        <v>13</v>
      </c>
      <c r="F75" s="9" t="s">
        <v>10</v>
      </c>
      <c r="G75">
        <v>72</v>
      </c>
      <c r="H75" s="4">
        <v>72</v>
      </c>
      <c r="I75" s="4" t="s">
        <v>934</v>
      </c>
      <c r="J75" s="4" t="str">
        <f t="shared" si="2"/>
        <v>1101103512</v>
      </c>
      <c r="K75" s="1" t="s">
        <v>12</v>
      </c>
      <c r="L75" s="4" t="s">
        <v>11</v>
      </c>
      <c r="M75" s="8" t="s">
        <v>840</v>
      </c>
      <c r="N75" s="4" t="str">
        <f t="shared" si="3"/>
        <v>('1071','RPT_009', 'LabaTrialBalance3rdSegment', '1101103512 - Mandiri - KCP Nusa Dua - IDR - 667 - ITDC', 'Aset', 'Aset Lancar', '72', '72', 'AND ma.main_account_id IN (1101103512)', 'A', 'Kas dan Setara Kas', 0, 0),</v>
      </c>
    </row>
    <row r="76" spans="1:14" ht="27" x14ac:dyDescent="0.3">
      <c r="A76">
        <v>1072</v>
      </c>
      <c r="B76" t="s">
        <v>177</v>
      </c>
      <c r="C76" t="s">
        <v>178</v>
      </c>
      <c r="D76" s="7" t="s">
        <v>248</v>
      </c>
      <c r="E76" s="4" t="s">
        <v>13</v>
      </c>
      <c r="F76" s="9" t="s">
        <v>10</v>
      </c>
      <c r="G76">
        <v>73</v>
      </c>
      <c r="H76" s="4">
        <v>73</v>
      </c>
      <c r="I76" s="4" t="s">
        <v>934</v>
      </c>
      <c r="J76" s="4" t="str">
        <f t="shared" si="2"/>
        <v>1101103513</v>
      </c>
      <c r="K76" s="1" t="s">
        <v>12</v>
      </c>
      <c r="L76" s="4" t="s">
        <v>11</v>
      </c>
      <c r="M76" s="8" t="s">
        <v>840</v>
      </c>
      <c r="N76" s="4" t="str">
        <f t="shared" si="3"/>
        <v>('1072','RPT_009', 'LabaTrialBalance3rdSegment', '1101103513 - Mandiri - KCP Nusa Dua - IDR - 659 - ITDC', 'Aset', 'Aset Lancar', '73', '73', 'AND ma.main_account_id IN (1101103513)', 'A', 'Kas dan Setara Kas', 0, 0),</v>
      </c>
    </row>
    <row r="77" spans="1:14" ht="27" x14ac:dyDescent="0.3">
      <c r="A77">
        <v>1073</v>
      </c>
      <c r="B77" t="s">
        <v>177</v>
      </c>
      <c r="C77" t="s">
        <v>178</v>
      </c>
      <c r="D77" s="7" t="s">
        <v>249</v>
      </c>
      <c r="E77" s="4" t="s">
        <v>13</v>
      </c>
      <c r="F77" s="9" t="s">
        <v>10</v>
      </c>
      <c r="G77">
        <v>74</v>
      </c>
      <c r="H77" s="4">
        <v>74</v>
      </c>
      <c r="I77" s="4" t="s">
        <v>934</v>
      </c>
      <c r="J77" s="4" t="str">
        <f t="shared" si="2"/>
        <v>1101103514</v>
      </c>
      <c r="K77" s="1" t="s">
        <v>12</v>
      </c>
      <c r="L77" s="4" t="s">
        <v>11</v>
      </c>
      <c r="M77" s="8" t="s">
        <v>840</v>
      </c>
      <c r="N77" s="4" t="str">
        <f t="shared" si="3"/>
        <v>('1073','RPT_009', 'LabaTrialBalance3rdSegment', '1101103514 - Mandiri - KCP Praya - IDR - 972 - ITDC', 'Aset', 'Aset Lancar', '74', '74', 'AND ma.main_account_id IN (1101103514)', 'A', 'Kas dan Setara Kas', 0, 0),</v>
      </c>
    </row>
    <row r="78" spans="1:14" ht="27" x14ac:dyDescent="0.3">
      <c r="A78">
        <v>1074</v>
      </c>
      <c r="B78" t="s">
        <v>177</v>
      </c>
      <c r="C78" t="s">
        <v>178</v>
      </c>
      <c r="D78" s="7" t="s">
        <v>250</v>
      </c>
      <c r="E78" s="4" t="s">
        <v>13</v>
      </c>
      <c r="F78" s="9" t="s">
        <v>10</v>
      </c>
      <c r="G78">
        <v>75</v>
      </c>
      <c r="H78" s="4">
        <v>75</v>
      </c>
      <c r="I78" s="4" t="s">
        <v>934</v>
      </c>
      <c r="J78" s="4" t="str">
        <f t="shared" si="2"/>
        <v>1101103515</v>
      </c>
      <c r="K78" s="1" t="s">
        <v>12</v>
      </c>
      <c r="L78" s="4" t="s">
        <v>11</v>
      </c>
      <c r="M78" s="8" t="s">
        <v>840</v>
      </c>
      <c r="N78" s="4" t="str">
        <f t="shared" si="3"/>
        <v>('1074','RPT_009', 'LabaTrialBalance3rdSegment', '1101103515 - Mandiri - KCP Nusa Dua - IDR - 757 - ITDC', 'Aset', 'Aset Lancar', '75', '75', 'AND ma.main_account_id IN (1101103515)', 'A', 'Kas dan Setara Kas', 0, 0),</v>
      </c>
    </row>
    <row r="79" spans="1:14" ht="27" x14ac:dyDescent="0.3">
      <c r="A79">
        <v>1075</v>
      </c>
      <c r="B79" t="s">
        <v>177</v>
      </c>
      <c r="C79" t="s">
        <v>178</v>
      </c>
      <c r="D79" s="7" t="s">
        <v>251</v>
      </c>
      <c r="E79" s="4" t="s">
        <v>13</v>
      </c>
      <c r="F79" s="9" t="s">
        <v>10</v>
      </c>
      <c r="G79">
        <v>76</v>
      </c>
      <c r="H79" s="4">
        <v>76</v>
      </c>
      <c r="I79" s="4" t="s">
        <v>934</v>
      </c>
      <c r="J79" s="4" t="str">
        <f t="shared" si="2"/>
        <v>1101103516</v>
      </c>
      <c r="K79" s="1" t="s">
        <v>12</v>
      </c>
      <c r="L79" s="4" t="s">
        <v>11</v>
      </c>
      <c r="M79" s="8" t="s">
        <v>840</v>
      </c>
      <c r="N79" s="4" t="str">
        <f t="shared" si="3"/>
        <v>('1075','RPT_009', 'LabaTrialBalance3rdSegment', '1101103516 - Mandiri - KCP Nusa Dua - IDR - 688 - ITDC', 'Aset', 'Aset Lancar', '76', '76', 'AND ma.main_account_id IN (1101103516)', 'A', 'Kas dan Setara Kas', 0, 0),</v>
      </c>
    </row>
    <row r="80" spans="1:14" ht="27" x14ac:dyDescent="0.3">
      <c r="A80">
        <v>1076</v>
      </c>
      <c r="B80" t="s">
        <v>177</v>
      </c>
      <c r="C80" t="s">
        <v>178</v>
      </c>
      <c r="D80" s="7" t="s">
        <v>252</v>
      </c>
      <c r="E80" s="4" t="s">
        <v>13</v>
      </c>
      <c r="F80" s="9" t="s">
        <v>10</v>
      </c>
      <c r="G80">
        <v>77</v>
      </c>
      <c r="H80" s="4">
        <v>77</v>
      </c>
      <c r="I80" s="4" t="s">
        <v>934</v>
      </c>
      <c r="J80" s="4" t="str">
        <f t="shared" si="2"/>
        <v>1101103517</v>
      </c>
      <c r="K80" s="1" t="s">
        <v>12</v>
      </c>
      <c r="L80" s="4" t="s">
        <v>11</v>
      </c>
      <c r="M80" s="8" t="s">
        <v>840</v>
      </c>
      <c r="N80" s="4" t="str">
        <f t="shared" si="3"/>
        <v>('1076','RPT_009', 'LabaTrialBalance3rdSegment', '1101103517 - Mandiri - KCP Nusa Dua - IDR - 132 - ITDC', 'Aset', 'Aset Lancar', '77', '77', 'AND ma.main_account_id IN (1101103517)', 'A', 'Kas dan Setara Kas', 0, 0),</v>
      </c>
    </row>
    <row r="81" spans="1:14" ht="27" x14ac:dyDescent="0.3">
      <c r="A81">
        <v>1077</v>
      </c>
      <c r="B81" t="s">
        <v>177</v>
      </c>
      <c r="C81" t="s">
        <v>178</v>
      </c>
      <c r="D81" s="7" t="s">
        <v>253</v>
      </c>
      <c r="E81" s="4" t="s">
        <v>13</v>
      </c>
      <c r="F81" s="9" t="s">
        <v>10</v>
      </c>
      <c r="G81">
        <v>78</v>
      </c>
      <c r="H81" s="4">
        <v>78</v>
      </c>
      <c r="I81" s="4" t="s">
        <v>934</v>
      </c>
      <c r="J81" s="4" t="str">
        <f t="shared" si="2"/>
        <v>1101103519</v>
      </c>
      <c r="K81" s="1" t="s">
        <v>12</v>
      </c>
      <c r="L81" s="4" t="s">
        <v>11</v>
      </c>
      <c r="M81" s="8" t="s">
        <v>840</v>
      </c>
      <c r="N81" s="4" t="str">
        <f t="shared" si="3"/>
        <v>('1077','RPT_009', 'LabaTrialBalance3rdSegment', '1101103519 - Mandiri - KCP xxx - IDR - 160 - ITDC', 'Aset', 'Aset Lancar', '78', '78', 'AND ma.main_account_id IN (1101103519)', 'A', 'Kas dan Setara Kas', 0, 0),</v>
      </c>
    </row>
    <row r="82" spans="1:14" ht="27" x14ac:dyDescent="0.3">
      <c r="A82">
        <v>1078</v>
      </c>
      <c r="B82" t="s">
        <v>177</v>
      </c>
      <c r="C82" t="s">
        <v>178</v>
      </c>
      <c r="D82" s="7" t="s">
        <v>254</v>
      </c>
      <c r="E82" s="4" t="s">
        <v>13</v>
      </c>
      <c r="F82" s="9" t="s">
        <v>10</v>
      </c>
      <c r="G82">
        <v>79</v>
      </c>
      <c r="H82" s="4">
        <v>79</v>
      </c>
      <c r="I82" s="4" t="s">
        <v>934</v>
      </c>
      <c r="J82" s="4" t="str">
        <f t="shared" si="2"/>
        <v>1101103520</v>
      </c>
      <c r="K82" s="1" t="s">
        <v>12</v>
      </c>
      <c r="L82" s="4" t="s">
        <v>11</v>
      </c>
      <c r="M82" s="8" t="s">
        <v>840</v>
      </c>
      <c r="N82" s="4" t="str">
        <f t="shared" si="3"/>
        <v>('1078','RPT_009', 'LabaTrialBalance3rdSegment', '1101103520 - Mandiri - KCP xxx - IDR - 152 - ITDC', 'Aset', 'Aset Lancar', '79', '79', 'AND ma.main_account_id IN (1101103520)', 'A', 'Kas dan Setara Kas', 0, 0),</v>
      </c>
    </row>
    <row r="83" spans="1:14" ht="27" x14ac:dyDescent="0.3">
      <c r="A83">
        <v>1079</v>
      </c>
      <c r="B83" t="s">
        <v>177</v>
      </c>
      <c r="C83" t="s">
        <v>178</v>
      </c>
      <c r="D83" s="7" t="s">
        <v>255</v>
      </c>
      <c r="E83" s="4" t="s">
        <v>13</v>
      </c>
      <c r="F83" s="9" t="s">
        <v>10</v>
      </c>
      <c r="G83">
        <v>80</v>
      </c>
      <c r="H83" s="4">
        <v>80</v>
      </c>
      <c r="I83" s="4" t="s">
        <v>934</v>
      </c>
      <c r="J83" s="4" t="str">
        <f t="shared" si="2"/>
        <v>1101103521</v>
      </c>
      <c r="K83" s="1" t="s">
        <v>12</v>
      </c>
      <c r="L83" s="4" t="s">
        <v>11</v>
      </c>
      <c r="M83" s="8" t="s">
        <v>840</v>
      </c>
      <c r="N83" s="4" t="str">
        <f t="shared" si="3"/>
        <v>('1079','RPT_009', 'LabaTrialBalance3rdSegment', '1101103521 - Mandiri - KCP xxx - IDR - 186 - ITDC', 'Aset', 'Aset Lancar', '80', '80', 'AND ma.main_account_id IN (1101103521)', 'A', 'Kas dan Setara Kas', 0, 0),</v>
      </c>
    </row>
    <row r="84" spans="1:14" ht="27" x14ac:dyDescent="0.3">
      <c r="A84">
        <v>1080</v>
      </c>
      <c r="B84" t="s">
        <v>177</v>
      </c>
      <c r="C84" t="s">
        <v>178</v>
      </c>
      <c r="D84" s="7" t="s">
        <v>256</v>
      </c>
      <c r="E84" s="4" t="s">
        <v>13</v>
      </c>
      <c r="F84" s="9" t="s">
        <v>10</v>
      </c>
      <c r="G84">
        <v>81</v>
      </c>
      <c r="H84" s="4">
        <v>81</v>
      </c>
      <c r="I84" s="4" t="s">
        <v>934</v>
      </c>
      <c r="J84" s="4" t="str">
        <f t="shared" si="2"/>
        <v>1101103522</v>
      </c>
      <c r="K84" s="1" t="s">
        <v>12</v>
      </c>
      <c r="L84" s="4" t="s">
        <v>11</v>
      </c>
      <c r="M84" s="8" t="s">
        <v>840</v>
      </c>
      <c r="N84" s="4" t="str">
        <f t="shared" si="3"/>
        <v>('1080','RPT_009', 'LabaTrialBalance3rdSegment', '1101103522 - Mandiri - KCP xxx - IDR - 194 - ITDC', 'Aset', 'Aset Lancar', '81', '81', 'AND ma.main_account_id IN (1101103522)', 'A', 'Kas dan Setara Kas', 0, 0),</v>
      </c>
    </row>
    <row r="85" spans="1:14" ht="27" x14ac:dyDescent="0.3">
      <c r="A85">
        <v>1081</v>
      </c>
      <c r="B85" t="s">
        <v>177</v>
      </c>
      <c r="C85" t="s">
        <v>178</v>
      </c>
      <c r="D85" s="7" t="s">
        <v>257</v>
      </c>
      <c r="E85" s="4" t="s">
        <v>13</v>
      </c>
      <c r="F85" s="9" t="s">
        <v>10</v>
      </c>
      <c r="G85">
        <v>82</v>
      </c>
      <c r="H85" s="4">
        <v>82</v>
      </c>
      <c r="I85" s="4" t="s">
        <v>934</v>
      </c>
      <c r="J85" s="4" t="str">
        <f t="shared" si="2"/>
        <v>1101103523</v>
      </c>
      <c r="K85" s="1" t="s">
        <v>12</v>
      </c>
      <c r="L85" s="4" t="s">
        <v>11</v>
      </c>
      <c r="M85" s="8" t="s">
        <v>840</v>
      </c>
      <c r="N85" s="4" t="str">
        <f t="shared" si="3"/>
        <v>('1081','RPT_009', 'LabaTrialBalance3rdSegment', '1101103523 - Mandiri - KCP xxx - IDR - 202 - ITDC', 'Aset', 'Aset Lancar', '82', '82', 'AND ma.main_account_id IN (1101103523)', 'A', 'Kas dan Setara Kas', 0, 0),</v>
      </c>
    </row>
    <row r="86" spans="1:14" ht="27" x14ac:dyDescent="0.3">
      <c r="A86">
        <v>1082</v>
      </c>
      <c r="B86" t="s">
        <v>177</v>
      </c>
      <c r="C86" t="s">
        <v>178</v>
      </c>
      <c r="D86" s="7" t="s">
        <v>258</v>
      </c>
      <c r="E86" s="4" t="s">
        <v>13</v>
      </c>
      <c r="F86" s="9" t="s">
        <v>10</v>
      </c>
      <c r="G86">
        <v>83</v>
      </c>
      <c r="H86" s="4">
        <v>83</v>
      </c>
      <c r="I86" s="4" t="s">
        <v>934</v>
      </c>
      <c r="J86" s="4" t="str">
        <f t="shared" si="2"/>
        <v>1101103524</v>
      </c>
      <c r="K86" s="1" t="s">
        <v>12</v>
      </c>
      <c r="L86" s="4" t="s">
        <v>11</v>
      </c>
      <c r="M86" s="8" t="s">
        <v>840</v>
      </c>
      <c r="N86" s="4" t="str">
        <f t="shared" si="3"/>
        <v>('1082','RPT_009', 'LabaTrialBalance3rdSegment', '1101103524 - Mandiri - KCP xxx - IDR - 210 - ITDC', 'Aset', 'Aset Lancar', '83', '83', 'AND ma.main_account_id IN (1101103524)', 'A', 'Kas dan Setara Kas', 0, 0),</v>
      </c>
    </row>
    <row r="87" spans="1:14" ht="27" x14ac:dyDescent="0.3">
      <c r="A87">
        <v>1083</v>
      </c>
      <c r="B87" t="s">
        <v>177</v>
      </c>
      <c r="C87" t="s">
        <v>178</v>
      </c>
      <c r="D87" s="7" t="s">
        <v>259</v>
      </c>
      <c r="E87" s="4" t="s">
        <v>13</v>
      </c>
      <c r="F87" s="9" t="s">
        <v>10</v>
      </c>
      <c r="G87">
        <v>84</v>
      </c>
      <c r="H87" s="4">
        <v>84</v>
      </c>
      <c r="I87" s="4" t="s">
        <v>934</v>
      </c>
      <c r="J87" s="4" t="str">
        <f t="shared" si="2"/>
        <v>1101103525</v>
      </c>
      <c r="K87" s="1" t="s">
        <v>12</v>
      </c>
      <c r="L87" s="4" t="s">
        <v>11</v>
      </c>
      <c r="M87" s="8" t="s">
        <v>840</v>
      </c>
      <c r="N87" s="4" t="str">
        <f t="shared" si="3"/>
        <v>('1083','RPT_009', 'LabaTrialBalance3rdSegment', '1101103525 - Mandiri - KCP xxx - IDR - 244 - ITDC', 'Aset', 'Aset Lancar', '84', '84', 'AND ma.main_account_id IN (1101103525)', 'A', 'Kas dan Setara Kas', 0, 0),</v>
      </c>
    </row>
    <row r="88" spans="1:14" ht="27" x14ac:dyDescent="0.3">
      <c r="A88">
        <v>1084</v>
      </c>
      <c r="B88" t="s">
        <v>177</v>
      </c>
      <c r="C88" t="s">
        <v>178</v>
      </c>
      <c r="D88" s="7" t="s">
        <v>260</v>
      </c>
      <c r="E88" s="4" t="s">
        <v>13</v>
      </c>
      <c r="F88" s="9" t="s">
        <v>10</v>
      </c>
      <c r="G88">
        <v>85</v>
      </c>
      <c r="H88" s="4">
        <v>85</v>
      </c>
      <c r="I88" s="4" t="s">
        <v>934</v>
      </c>
      <c r="J88" s="4" t="str">
        <f t="shared" si="2"/>
        <v>1101103526</v>
      </c>
      <c r="K88" s="1" t="s">
        <v>12</v>
      </c>
      <c r="L88" s="4" t="s">
        <v>11</v>
      </c>
      <c r="M88" s="8" t="s">
        <v>840</v>
      </c>
      <c r="N88" s="4" t="str">
        <f t="shared" si="3"/>
        <v>('1084','RPT_009', 'LabaTrialBalance3rdSegment', '1101103526 - Mandiri - KCP xxx - IDR - 236 - ITDC', 'Aset', 'Aset Lancar', '85', '85', 'AND ma.main_account_id IN (1101103526)', 'A', 'Kas dan Setara Kas', 0, 0),</v>
      </c>
    </row>
    <row r="89" spans="1:14" ht="27" x14ac:dyDescent="0.3">
      <c r="A89">
        <v>1085</v>
      </c>
      <c r="B89" t="s">
        <v>177</v>
      </c>
      <c r="C89" t="s">
        <v>178</v>
      </c>
      <c r="D89" s="7" t="s">
        <v>261</v>
      </c>
      <c r="E89" s="4" t="s">
        <v>13</v>
      </c>
      <c r="F89" s="9" t="s">
        <v>10</v>
      </c>
      <c r="G89">
        <v>86</v>
      </c>
      <c r="H89" s="4">
        <v>86</v>
      </c>
      <c r="I89" s="4" t="s">
        <v>934</v>
      </c>
      <c r="J89" s="4" t="str">
        <f t="shared" si="2"/>
        <v>1101103530</v>
      </c>
      <c r="K89" s="1" t="s">
        <v>12</v>
      </c>
      <c r="L89" s="4" t="s">
        <v>11</v>
      </c>
      <c r="M89" s="8" t="s">
        <v>840</v>
      </c>
      <c r="N89" s="4" t="str">
        <f t="shared" si="3"/>
        <v>('1085','RPT_009', 'LabaTrialBalance3rdSegment', '1101103530 - Mandiri - KCP xxx - IDR - 178 - ITDC', 'Aset', 'Aset Lancar', '86', '86', 'AND ma.main_account_id IN (1101103530)', 'A', 'Kas dan Setara Kas', 0, 0),</v>
      </c>
    </row>
    <row r="90" spans="1:14" ht="27" x14ac:dyDescent="0.3">
      <c r="A90">
        <v>1086</v>
      </c>
      <c r="B90" t="s">
        <v>177</v>
      </c>
      <c r="C90" t="s">
        <v>178</v>
      </c>
      <c r="D90" s="7" t="s">
        <v>262</v>
      </c>
      <c r="E90" s="4" t="s">
        <v>13</v>
      </c>
      <c r="F90" s="9" t="s">
        <v>10</v>
      </c>
      <c r="G90">
        <v>87</v>
      </c>
      <c r="H90" s="4">
        <v>87</v>
      </c>
      <c r="I90" s="4" t="s">
        <v>934</v>
      </c>
      <c r="J90" s="4" t="str">
        <f t="shared" si="2"/>
        <v>1101103601</v>
      </c>
      <c r="K90" s="1" t="s">
        <v>12</v>
      </c>
      <c r="L90" s="4" t="s">
        <v>11</v>
      </c>
      <c r="M90" s="8" t="s">
        <v>840</v>
      </c>
      <c r="N90" s="4" t="str">
        <f t="shared" si="3"/>
        <v>('1086','RPT_009', 'LabaTrialBalance3rdSegment', '1101103601 - Mandiri - KCP Nusa Dua - IDR - 009 - ITDC', 'Aset', 'Aset Lancar', '87', '87', 'AND ma.main_account_id IN (1101103601)', 'A', 'Kas dan Setara Kas', 0, 0),</v>
      </c>
    </row>
    <row r="91" spans="1:14" ht="27" x14ac:dyDescent="0.3">
      <c r="A91">
        <v>1087</v>
      </c>
      <c r="B91" t="s">
        <v>177</v>
      </c>
      <c r="C91" t="s">
        <v>178</v>
      </c>
      <c r="D91" s="7" t="s">
        <v>263</v>
      </c>
      <c r="E91" s="4" t="s">
        <v>13</v>
      </c>
      <c r="F91" s="9" t="s">
        <v>10</v>
      </c>
      <c r="G91">
        <v>88</v>
      </c>
      <c r="H91" s="4">
        <v>88</v>
      </c>
      <c r="I91" s="4" t="s">
        <v>934</v>
      </c>
      <c r="J91" s="4" t="str">
        <f t="shared" si="2"/>
        <v>1101103602</v>
      </c>
      <c r="K91" s="1" t="s">
        <v>12</v>
      </c>
      <c r="L91" s="4" t="s">
        <v>11</v>
      </c>
      <c r="M91" s="8" t="s">
        <v>840</v>
      </c>
      <c r="N91" s="4" t="str">
        <f t="shared" si="3"/>
        <v>('1087','RPT_009', 'LabaTrialBalance3rdSegment', '1101103602 - Mandiri - KCP Nusa Dua - IDR - 000 - ITDC', 'Aset', 'Aset Lancar', '88', '88', 'AND ma.main_account_id IN (1101103602)', 'A', 'Kas dan Setara Kas', 0, 0),</v>
      </c>
    </row>
    <row r="92" spans="1:14" ht="27" x14ac:dyDescent="0.3">
      <c r="A92">
        <v>1088</v>
      </c>
      <c r="B92" t="s">
        <v>177</v>
      </c>
      <c r="C92" t="s">
        <v>178</v>
      </c>
      <c r="D92" s="7" t="s">
        <v>264</v>
      </c>
      <c r="E92" s="4" t="s">
        <v>13</v>
      </c>
      <c r="F92" s="9" t="s">
        <v>10</v>
      </c>
      <c r="G92">
        <v>89</v>
      </c>
      <c r="H92" s="4">
        <v>89</v>
      </c>
      <c r="I92" s="4" t="s">
        <v>934</v>
      </c>
      <c r="J92" s="4" t="str">
        <f t="shared" si="2"/>
        <v>1101103795</v>
      </c>
      <c r="K92" s="1" t="s">
        <v>12</v>
      </c>
      <c r="L92" s="4" t="s">
        <v>11</v>
      </c>
      <c r="M92" s="8" t="s">
        <v>840</v>
      </c>
      <c r="N92" s="4" t="str">
        <f t="shared" si="3"/>
        <v>('1088','RPT_009', 'LabaTrialBalance3rdSegment', '1101103795 - Mandiri - KC Thamrin - USD - 659 - INX', 'Aset', 'Aset Lancar', '89', '89', 'AND ma.main_account_id IN (1101103795)', 'A', 'Kas dan Setara Kas', 0, 0),</v>
      </c>
    </row>
    <row r="93" spans="1:14" ht="27" x14ac:dyDescent="0.3">
      <c r="A93">
        <v>1089</v>
      </c>
      <c r="B93" t="s">
        <v>177</v>
      </c>
      <c r="C93" t="s">
        <v>178</v>
      </c>
      <c r="D93" s="7" t="s">
        <v>265</v>
      </c>
      <c r="E93" s="4" t="s">
        <v>13</v>
      </c>
      <c r="F93" s="9" t="s">
        <v>10</v>
      </c>
      <c r="G93">
        <v>90</v>
      </c>
      <c r="H93" s="4">
        <v>90</v>
      </c>
      <c r="I93" s="4" t="s">
        <v>934</v>
      </c>
      <c r="J93" s="4" t="str">
        <f t="shared" si="2"/>
        <v>1101103817</v>
      </c>
      <c r="K93" s="1" t="s">
        <v>12</v>
      </c>
      <c r="L93" s="4" t="s">
        <v>11</v>
      </c>
      <c r="M93" s="8" t="s">
        <v>840</v>
      </c>
      <c r="N93" s="4" t="str">
        <f t="shared" si="3"/>
        <v>('1089','RPT_009', 'LabaTrialBalance3rdSegment', '1101103817 - Mandiri - KCP Praya - USD - 985 - MGPA', 'Aset', 'Aset Lancar', '90', '90', 'AND ma.main_account_id IN (1101103817)', 'A', 'Kas dan Setara Kas', 0, 0),</v>
      </c>
    </row>
    <row r="94" spans="1:14" ht="27" x14ac:dyDescent="0.3">
      <c r="A94">
        <v>1090</v>
      </c>
      <c r="B94" t="s">
        <v>177</v>
      </c>
      <c r="C94" t="s">
        <v>178</v>
      </c>
      <c r="D94" s="7" t="s">
        <v>266</v>
      </c>
      <c r="E94" s="4" t="s">
        <v>13</v>
      </c>
      <c r="F94" s="9" t="s">
        <v>10</v>
      </c>
      <c r="G94">
        <v>91</v>
      </c>
      <c r="H94" s="4">
        <v>91</v>
      </c>
      <c r="I94" s="4" t="s">
        <v>934</v>
      </c>
      <c r="J94" s="4" t="str">
        <f t="shared" si="2"/>
        <v>1101103818</v>
      </c>
      <c r="K94" s="1" t="s">
        <v>12</v>
      </c>
      <c r="L94" s="4" t="s">
        <v>11</v>
      </c>
      <c r="M94" s="8" t="s">
        <v>840</v>
      </c>
      <c r="N94" s="4" t="str">
        <f t="shared" si="3"/>
        <v>('1090','RPT_009', 'LabaTrialBalance3rdSegment', '1101103818 - Mandiri - KCP Nusa Dua - USD - 579 - ITDC', 'Aset', 'Aset Lancar', '91', '91', 'AND ma.main_account_id IN (1101103818)', 'A', 'Kas dan Setara Kas', 0, 0),</v>
      </c>
    </row>
    <row r="95" spans="1:14" ht="27" x14ac:dyDescent="0.3">
      <c r="A95">
        <v>1091</v>
      </c>
      <c r="B95" t="s">
        <v>177</v>
      </c>
      <c r="C95" t="s">
        <v>178</v>
      </c>
      <c r="D95" s="7" t="s">
        <v>267</v>
      </c>
      <c r="E95" s="4" t="s">
        <v>13</v>
      </c>
      <c r="F95" s="9" t="s">
        <v>10</v>
      </c>
      <c r="G95">
        <v>92</v>
      </c>
      <c r="H95" s="4">
        <v>92</v>
      </c>
      <c r="I95" s="4" t="s">
        <v>934</v>
      </c>
      <c r="J95" s="4" t="str">
        <f t="shared" si="2"/>
        <v>1101103819</v>
      </c>
      <c r="K95" s="1" t="s">
        <v>12</v>
      </c>
      <c r="L95" s="4" t="s">
        <v>11</v>
      </c>
      <c r="M95" s="8" t="s">
        <v>840</v>
      </c>
      <c r="N95" s="4" t="str">
        <f t="shared" si="3"/>
        <v>('1091','RPT_009', 'LabaTrialBalance3rdSegment', '1101103819 - Mandiri - KCP Nusa Dua - USD - 843 - ITDC', 'Aset', 'Aset Lancar', '92', '92', 'AND ma.main_account_id IN (1101103819)', 'A', 'Kas dan Setara Kas', 0, 0),</v>
      </c>
    </row>
    <row r="96" spans="1:14" ht="27" x14ac:dyDescent="0.3">
      <c r="A96">
        <v>1092</v>
      </c>
      <c r="B96" t="s">
        <v>177</v>
      </c>
      <c r="C96" t="s">
        <v>178</v>
      </c>
      <c r="D96" s="7" t="s">
        <v>268</v>
      </c>
      <c r="E96" s="4" t="s">
        <v>13</v>
      </c>
      <c r="F96" s="9" t="s">
        <v>10</v>
      </c>
      <c r="G96">
        <v>93</v>
      </c>
      <c r="H96" s="4">
        <v>93</v>
      </c>
      <c r="I96" s="4" t="s">
        <v>934</v>
      </c>
      <c r="J96" s="4" t="str">
        <f t="shared" si="2"/>
        <v>1101103820</v>
      </c>
      <c r="K96" s="1" t="s">
        <v>12</v>
      </c>
      <c r="L96" s="4" t="s">
        <v>11</v>
      </c>
      <c r="M96" s="8" t="s">
        <v>840</v>
      </c>
      <c r="N96" s="4" t="str">
        <f t="shared" si="3"/>
        <v>('1092','RPT_009', 'LabaTrialBalance3rdSegment', '1101103820 - Mandiri - KCP Nusa Dua - USD - 505 - ITDC', 'Aset', 'Aset Lancar', '93', '93', 'AND ma.main_account_id IN (1101103820)', 'A', 'Kas dan Setara Kas', 0, 0),</v>
      </c>
    </row>
    <row r="97" spans="1:14" ht="27" x14ac:dyDescent="0.3">
      <c r="A97">
        <v>1093</v>
      </c>
      <c r="B97" t="s">
        <v>177</v>
      </c>
      <c r="C97" t="s">
        <v>178</v>
      </c>
      <c r="D97" s="7" t="s">
        <v>269</v>
      </c>
      <c r="E97" s="4" t="s">
        <v>13</v>
      </c>
      <c r="F97" s="9" t="s">
        <v>10</v>
      </c>
      <c r="G97">
        <v>94</v>
      </c>
      <c r="H97" s="4">
        <v>94</v>
      </c>
      <c r="I97" s="4" t="s">
        <v>934</v>
      </c>
      <c r="J97" s="4" t="str">
        <f t="shared" si="2"/>
        <v>1101103821</v>
      </c>
      <c r="K97" s="1" t="s">
        <v>12</v>
      </c>
      <c r="L97" s="4" t="s">
        <v>11</v>
      </c>
      <c r="M97" s="8" t="s">
        <v>840</v>
      </c>
      <c r="N97" s="4" t="str">
        <f t="shared" si="3"/>
        <v>('1093','RPT_009', 'LabaTrialBalance3rdSegment', '1101103821 - Mandiri - KCP Praya - USD - 944 - ITDC', 'Aset', 'Aset Lancar', '94', '94', 'AND ma.main_account_id IN (1101103821)', 'A', 'Kas dan Setara Kas', 0, 0),</v>
      </c>
    </row>
    <row r="98" spans="1:14" ht="27" x14ac:dyDescent="0.3">
      <c r="A98">
        <v>1094</v>
      </c>
      <c r="B98" t="s">
        <v>177</v>
      </c>
      <c r="C98" t="s">
        <v>178</v>
      </c>
      <c r="D98" s="7" t="s">
        <v>270</v>
      </c>
      <c r="E98" s="4" t="s">
        <v>13</v>
      </c>
      <c r="F98" s="9" t="s">
        <v>10</v>
      </c>
      <c r="G98">
        <v>95</v>
      </c>
      <c r="H98" s="4">
        <v>95</v>
      </c>
      <c r="I98" s="4" t="s">
        <v>934</v>
      </c>
      <c r="J98" s="4" t="str">
        <f t="shared" si="2"/>
        <v>1101103822</v>
      </c>
      <c r="K98" s="1" t="s">
        <v>12</v>
      </c>
      <c r="L98" s="4" t="s">
        <v>11</v>
      </c>
      <c r="M98" s="8" t="s">
        <v>840</v>
      </c>
      <c r="N98" s="4" t="str">
        <f t="shared" si="3"/>
        <v>('1094','RPT_009', 'LabaTrialBalance3rdSegment', '1101103822 - Mandiri - KCP Praya - USD - 358 - ITDC', 'Aset', 'Aset Lancar', '95', '95', 'AND ma.main_account_id IN (1101103822)', 'A', 'Kas dan Setara Kas', 0, 0),</v>
      </c>
    </row>
    <row r="99" spans="1:14" ht="27" x14ac:dyDescent="0.3">
      <c r="A99">
        <v>1095</v>
      </c>
      <c r="B99" t="s">
        <v>177</v>
      </c>
      <c r="C99" t="s">
        <v>178</v>
      </c>
      <c r="D99" s="7" t="s">
        <v>271</v>
      </c>
      <c r="E99" s="4" t="s">
        <v>13</v>
      </c>
      <c r="F99" s="9" t="s">
        <v>10</v>
      </c>
      <c r="G99">
        <v>96</v>
      </c>
      <c r="H99" s="4">
        <v>96</v>
      </c>
      <c r="I99" s="4" t="s">
        <v>934</v>
      </c>
      <c r="J99" s="4" t="str">
        <f t="shared" si="2"/>
        <v>1101104068</v>
      </c>
      <c r="K99" s="1" t="s">
        <v>12</v>
      </c>
      <c r="L99" s="4" t="s">
        <v>11</v>
      </c>
      <c r="M99" s="8" t="s">
        <v>840</v>
      </c>
      <c r="N99" s="4" t="str">
        <f t="shared" si="3"/>
        <v>('1095','RPT_009', 'LabaTrialBalance3rdSegment', '1101104068 - Mandiri - KC Thamrin - EUR - 550 - INX', 'Aset', 'Aset Lancar', '96', '96', 'AND ma.main_account_id IN (1101104068)', 'A', 'Kas dan Setara Kas', 0, 0),</v>
      </c>
    </row>
    <row r="100" spans="1:14" ht="27" x14ac:dyDescent="0.3">
      <c r="A100">
        <v>1096</v>
      </c>
      <c r="B100" t="s">
        <v>177</v>
      </c>
      <c r="C100" t="s">
        <v>178</v>
      </c>
      <c r="D100" s="7" t="s">
        <v>272</v>
      </c>
      <c r="E100" s="4" t="s">
        <v>13</v>
      </c>
      <c r="F100" s="9" t="s">
        <v>10</v>
      </c>
      <c r="G100">
        <v>97</v>
      </c>
      <c r="H100" s="4">
        <v>97</v>
      </c>
      <c r="I100" s="4" t="s">
        <v>934</v>
      </c>
      <c r="J100" s="4" t="str">
        <f t="shared" si="2"/>
        <v>1101104821</v>
      </c>
      <c r="K100" s="1" t="s">
        <v>12</v>
      </c>
      <c r="L100" s="4" t="s">
        <v>11</v>
      </c>
      <c r="M100" s="8" t="s">
        <v>840</v>
      </c>
      <c r="N100" s="4" t="str">
        <f t="shared" si="3"/>
        <v>('1096','RPT_009', 'LabaTrialBalance3rdSegment', '1101104821 - Mandiri Taspen - KCP Melati - IDR - 087 - ITDC', 'Aset', 'Aset Lancar', '97', '97', 'AND ma.main_account_id IN (1101104821)', 'A', 'Kas dan Setara Kas', 0, 0),</v>
      </c>
    </row>
    <row r="101" spans="1:14" x14ac:dyDescent="0.3">
      <c r="A101">
        <v>1097</v>
      </c>
      <c r="B101" t="s">
        <v>177</v>
      </c>
      <c r="C101" t="s">
        <v>178</v>
      </c>
      <c r="D101" s="6" t="s">
        <v>273</v>
      </c>
      <c r="E101" s="4" t="s">
        <v>13</v>
      </c>
      <c r="F101" s="9" t="s">
        <v>10</v>
      </c>
      <c r="G101">
        <v>98</v>
      </c>
      <c r="H101" s="4">
        <v>98</v>
      </c>
      <c r="I101" s="4" t="s">
        <v>934</v>
      </c>
      <c r="J101" s="4" t="str">
        <f t="shared" si="2"/>
        <v>1101110000</v>
      </c>
      <c r="K101" s="1" t="s">
        <v>12</v>
      </c>
      <c r="L101" s="4" t="s">
        <v>11</v>
      </c>
      <c r="M101" s="8" t="s">
        <v>840</v>
      </c>
      <c r="N101" s="4" t="str">
        <f t="shared" si="3"/>
        <v>('1097','RPT_009', 'LabaTrialBalance3rdSegment', '1101110000 -  Kas di Bank - Pihak Ketiga', 'Aset', 'Aset Lancar', '98', '98', 'AND ma.main_account_id IN (1101110000)', 'A', 'Kas dan Setara Kas', 0, 0),</v>
      </c>
    </row>
    <row r="102" spans="1:14" ht="27" x14ac:dyDescent="0.3">
      <c r="A102">
        <v>1098</v>
      </c>
      <c r="B102" t="s">
        <v>177</v>
      </c>
      <c r="C102" t="s">
        <v>178</v>
      </c>
      <c r="D102" s="7" t="s">
        <v>274</v>
      </c>
      <c r="E102" s="4" t="s">
        <v>13</v>
      </c>
      <c r="F102" s="9" t="s">
        <v>10</v>
      </c>
      <c r="G102">
        <v>99</v>
      </c>
      <c r="H102" s="4">
        <v>99</v>
      </c>
      <c r="I102" s="4" t="s">
        <v>934</v>
      </c>
      <c r="J102" s="4" t="str">
        <f t="shared" si="2"/>
        <v>1101110033</v>
      </c>
      <c r="K102" s="1" t="s">
        <v>12</v>
      </c>
      <c r="L102" s="4" t="s">
        <v>11</v>
      </c>
      <c r="M102" s="8" t="s">
        <v>840</v>
      </c>
      <c r="N102" s="4" t="str">
        <f t="shared" si="3"/>
        <v>('1098','RPT_009', 'LabaTrialBalance3rdSegment', '1101110033 - BCA - KCU Thamrin - IDR - 921 - INX', 'Aset', 'Aset Lancar', '99', '99', 'AND ma.main_account_id IN (1101110033)', 'A', 'Kas dan Setara Kas', 0, 0),</v>
      </c>
    </row>
    <row r="103" spans="1:14" ht="27" x14ac:dyDescent="0.3">
      <c r="A103">
        <v>1099</v>
      </c>
      <c r="B103" t="s">
        <v>177</v>
      </c>
      <c r="C103" t="s">
        <v>178</v>
      </c>
      <c r="D103" s="7" t="s">
        <v>275</v>
      </c>
      <c r="E103" s="4" t="s">
        <v>13</v>
      </c>
      <c r="F103" s="9" t="s">
        <v>10</v>
      </c>
      <c r="G103">
        <v>100</v>
      </c>
      <c r="H103" s="4">
        <v>100</v>
      </c>
      <c r="I103" s="4" t="s">
        <v>934</v>
      </c>
      <c r="J103" s="4" t="str">
        <f t="shared" si="2"/>
        <v>1101110037</v>
      </c>
      <c r="K103" s="1" t="s">
        <v>12</v>
      </c>
      <c r="L103" s="4" t="s">
        <v>11</v>
      </c>
      <c r="M103" s="8" t="s">
        <v>840</v>
      </c>
      <c r="N103" s="4" t="str">
        <f t="shared" si="3"/>
        <v>('1099','RPT_009', 'LabaTrialBalance3rdSegment', '1101110037 - BCA - KCP Praya - IDR - 666 - ITDC', 'Aset', 'Aset Lancar', '100', '100', 'AND ma.main_account_id IN (1101110037)', 'A', 'Kas dan Setara Kas', 0, 0),</v>
      </c>
    </row>
    <row r="104" spans="1:14" ht="27" x14ac:dyDescent="0.3">
      <c r="A104">
        <v>1100</v>
      </c>
      <c r="B104" t="s">
        <v>177</v>
      </c>
      <c r="C104" t="s">
        <v>178</v>
      </c>
      <c r="D104" s="7" t="s">
        <v>276</v>
      </c>
      <c r="E104" s="4" t="s">
        <v>13</v>
      </c>
      <c r="F104" s="9" t="s">
        <v>10</v>
      </c>
      <c r="G104">
        <v>101</v>
      </c>
      <c r="H104" s="4">
        <v>101</v>
      </c>
      <c r="I104" s="4" t="s">
        <v>934</v>
      </c>
      <c r="J104" s="4" t="str">
        <f t="shared" si="2"/>
        <v>1101110038</v>
      </c>
      <c r="K104" s="1" t="s">
        <v>12</v>
      </c>
      <c r="L104" s="4" t="s">
        <v>11</v>
      </c>
      <c r="M104" s="8" t="s">
        <v>840</v>
      </c>
      <c r="N104" s="4" t="str">
        <f t="shared" si="3"/>
        <v>('1100','RPT_009', 'LabaTrialBalance3rdSegment', '1101110038 - BCA - KCP KUTA - IDR - 888 - INU', 'Aset', 'Aset Lancar', '101', '101', 'AND ma.main_account_id IN (1101110038)', 'A', 'Kas dan Setara Kas', 0, 0),</v>
      </c>
    </row>
    <row r="105" spans="1:14" ht="27" x14ac:dyDescent="0.3">
      <c r="A105">
        <v>1101</v>
      </c>
      <c r="B105" t="s">
        <v>177</v>
      </c>
      <c r="C105" t="s">
        <v>178</v>
      </c>
      <c r="D105" s="7" t="s">
        <v>277</v>
      </c>
      <c r="E105" s="4" t="s">
        <v>13</v>
      </c>
      <c r="F105" s="9" t="s">
        <v>10</v>
      </c>
      <c r="G105">
        <v>102</v>
      </c>
      <c r="H105" s="4">
        <v>102</v>
      </c>
      <c r="I105" s="4" t="s">
        <v>934</v>
      </c>
      <c r="J105" s="4" t="str">
        <f t="shared" si="2"/>
        <v>1101110341</v>
      </c>
      <c r="K105" s="1" t="s">
        <v>12</v>
      </c>
      <c r="L105" s="4" t="s">
        <v>11</v>
      </c>
      <c r="M105" s="8" t="s">
        <v>840</v>
      </c>
      <c r="N105" s="4" t="str">
        <f t="shared" si="3"/>
        <v>('1101','RPT_009', 'LabaTrialBalance3rdSegment', '1101110341 - BPD Bali - KCP Renon - IDR - 057 - ITDC', 'Aset', 'Aset Lancar', '102', '102', 'AND ma.main_account_id IN (1101110341)', 'A', 'Kas dan Setara Kas', 0, 0),</v>
      </c>
    </row>
    <row r="106" spans="1:14" ht="27" x14ac:dyDescent="0.3">
      <c r="A106">
        <v>1102</v>
      </c>
      <c r="B106" t="s">
        <v>177</v>
      </c>
      <c r="C106" t="s">
        <v>178</v>
      </c>
      <c r="D106" s="7" t="s">
        <v>278</v>
      </c>
      <c r="E106" s="4" t="s">
        <v>13</v>
      </c>
      <c r="F106" s="9" t="s">
        <v>10</v>
      </c>
      <c r="G106">
        <v>103</v>
      </c>
      <c r="H106" s="4">
        <v>103</v>
      </c>
      <c r="I106" s="4" t="s">
        <v>934</v>
      </c>
      <c r="J106" s="4" t="str">
        <f t="shared" si="2"/>
        <v>1101110955</v>
      </c>
      <c r="K106" s="1" t="s">
        <v>12</v>
      </c>
      <c r="L106" s="4" t="s">
        <v>11</v>
      </c>
      <c r="M106" s="8" t="s">
        <v>840</v>
      </c>
      <c r="N106" s="4" t="str">
        <f t="shared" si="3"/>
        <v>('1102','RPT_009', 'LabaTrialBalance3rdSegment', '1101110955 - BPD Papua - KC Jakarta - IDR - 522 - INU', 'Aset', 'Aset Lancar', '103', '103', 'AND ma.main_account_id IN (1101110955)', 'A', 'Kas dan Setara Kas', 0, 0),</v>
      </c>
    </row>
    <row r="107" spans="1:14" ht="27" x14ac:dyDescent="0.3">
      <c r="A107">
        <v>1103</v>
      </c>
      <c r="B107" t="s">
        <v>177</v>
      </c>
      <c r="C107" t="s">
        <v>178</v>
      </c>
      <c r="D107" s="7" t="s">
        <v>279</v>
      </c>
      <c r="E107" s="4" t="s">
        <v>13</v>
      </c>
      <c r="F107" s="9" t="s">
        <v>10</v>
      </c>
      <c r="G107">
        <v>104</v>
      </c>
      <c r="H107" s="4">
        <v>104</v>
      </c>
      <c r="I107" s="4" t="s">
        <v>934</v>
      </c>
      <c r="J107" s="4" t="str">
        <f t="shared" si="2"/>
        <v>1101111382</v>
      </c>
      <c r="K107" s="1" t="s">
        <v>12</v>
      </c>
      <c r="L107" s="4" t="s">
        <v>11</v>
      </c>
      <c r="M107" s="8" t="s">
        <v>840</v>
      </c>
      <c r="N107" s="4" t="str">
        <f t="shared" si="3"/>
        <v>('1103','RPT_009', 'LabaTrialBalance3rdSegment', '1101111382 - CIMB Niaga - KCP Mataram Pejanggik - IDR - 000 - ITDC', 'Aset', 'Aset Lancar', '104', '104', 'AND ma.main_account_id IN (1101111382)', 'A', 'Kas dan Setara Kas', 0, 0),</v>
      </c>
    </row>
    <row r="108" spans="1:14" ht="27" x14ac:dyDescent="0.3">
      <c r="A108">
        <v>1104</v>
      </c>
      <c r="B108" t="s">
        <v>177</v>
      </c>
      <c r="C108" t="s">
        <v>178</v>
      </c>
      <c r="D108" s="7" t="s">
        <v>280</v>
      </c>
      <c r="E108" s="4" t="s">
        <v>13</v>
      </c>
      <c r="F108" s="9" t="s">
        <v>10</v>
      </c>
      <c r="G108">
        <v>105</v>
      </c>
      <c r="H108" s="4">
        <v>105</v>
      </c>
      <c r="I108" s="4" t="s">
        <v>934</v>
      </c>
      <c r="J108" s="4" t="str">
        <f t="shared" si="2"/>
        <v>1101111899</v>
      </c>
      <c r="K108" s="1" t="s">
        <v>12</v>
      </c>
      <c r="L108" s="4" t="s">
        <v>11</v>
      </c>
      <c r="M108" s="8" t="s">
        <v>840</v>
      </c>
      <c r="N108" s="4" t="str">
        <f t="shared" si="3"/>
        <v>('1104','RPT_009', 'LabaTrialBalance3rdSegment', '1101111899 - Indonesia Exim - KCP Jendral Sudirman - IDR - 013 - ITDC', 'Aset', 'Aset Lancar', '105', '105', 'AND ma.main_account_id IN (1101111899)', 'A', 'Kas dan Setara Kas', 0, 0),</v>
      </c>
    </row>
    <row r="109" spans="1:14" ht="27" x14ac:dyDescent="0.3">
      <c r="A109">
        <v>1105</v>
      </c>
      <c r="B109" t="s">
        <v>177</v>
      </c>
      <c r="C109" t="s">
        <v>178</v>
      </c>
      <c r="D109" s="7" t="s">
        <v>281</v>
      </c>
      <c r="E109" s="4" t="s">
        <v>13</v>
      </c>
      <c r="F109" s="9" t="s">
        <v>10</v>
      </c>
      <c r="G109">
        <v>106</v>
      </c>
      <c r="H109" s="4">
        <v>106</v>
      </c>
      <c r="I109" s="4" t="s">
        <v>934</v>
      </c>
      <c r="J109" s="4" t="str">
        <f t="shared" si="2"/>
        <v>1101111900</v>
      </c>
      <c r="K109" s="1" t="s">
        <v>12</v>
      </c>
      <c r="L109" s="4" t="s">
        <v>11</v>
      </c>
      <c r="M109" s="8" t="s">
        <v>840</v>
      </c>
      <c r="N109" s="4" t="str">
        <f t="shared" si="3"/>
        <v>('1105','RPT_009', 'LabaTrialBalance3rdSegment', '1101111900 - Indonesia Exim - KCP Jendral Sudirman - IDR - 159 - ITDC', 'Aset', 'Aset Lancar', '106', '106', 'AND ma.main_account_id IN (1101111900)', 'A', 'Kas dan Setara Kas', 0, 0),</v>
      </c>
    </row>
    <row r="110" spans="1:14" ht="27" x14ac:dyDescent="0.3">
      <c r="A110">
        <v>1106</v>
      </c>
      <c r="B110" t="s">
        <v>177</v>
      </c>
      <c r="C110" t="s">
        <v>178</v>
      </c>
      <c r="D110" s="7" t="s">
        <v>282</v>
      </c>
      <c r="E110" s="4" t="s">
        <v>13</v>
      </c>
      <c r="F110" s="9" t="s">
        <v>10</v>
      </c>
      <c r="G110">
        <v>107</v>
      </c>
      <c r="H110" s="4">
        <v>107</v>
      </c>
      <c r="I110" s="4" t="s">
        <v>934</v>
      </c>
      <c r="J110" s="4" t="str">
        <f t="shared" si="2"/>
        <v>1101111901</v>
      </c>
      <c r="K110" s="1" t="s">
        <v>12</v>
      </c>
      <c r="L110" s="4" t="s">
        <v>11</v>
      </c>
      <c r="M110" s="8" t="s">
        <v>840</v>
      </c>
      <c r="N110" s="4" t="str">
        <f t="shared" si="3"/>
        <v>('1106','RPT_009', 'LabaTrialBalance3rdSegment', '1101111901 - Indonesia Exim - KCP Jendral Sudirman - IDR - 275 - ITDC', 'Aset', 'Aset Lancar', '107', '107', 'AND ma.main_account_id IN (1101111901)', 'A', 'Kas dan Setara Kas', 0, 0),</v>
      </c>
    </row>
    <row r="111" spans="1:14" ht="27" x14ac:dyDescent="0.3">
      <c r="A111">
        <v>1107</v>
      </c>
      <c r="B111" t="s">
        <v>177</v>
      </c>
      <c r="C111" t="s">
        <v>178</v>
      </c>
      <c r="D111" s="7" t="s">
        <v>283</v>
      </c>
      <c r="E111" s="4" t="s">
        <v>13</v>
      </c>
      <c r="F111" s="9" t="s">
        <v>10</v>
      </c>
      <c r="G111">
        <v>108</v>
      </c>
      <c r="H111" s="4">
        <v>108</v>
      </c>
      <c r="I111" s="4" t="s">
        <v>934</v>
      </c>
      <c r="J111" s="4" t="str">
        <f t="shared" si="2"/>
        <v>1101112304</v>
      </c>
      <c r="K111" s="1" t="s">
        <v>12</v>
      </c>
      <c r="L111" s="4" t="s">
        <v>11</v>
      </c>
      <c r="M111" s="8" t="s">
        <v>840</v>
      </c>
      <c r="N111" s="4" t="str">
        <f t="shared" si="3"/>
        <v>('1107','RPT_009', 'LabaTrialBalance3rdSegment', '1101112304 - Mayapada - KC Sudirman - IDR - 575 - INX', 'Aset', 'Aset Lancar', '108', '108', 'AND ma.main_account_id IN (1101112304)', 'A', 'Kas dan Setara Kas', 0, 0),</v>
      </c>
    </row>
    <row r="112" spans="1:14" ht="27" x14ac:dyDescent="0.3">
      <c r="A112">
        <v>1108</v>
      </c>
      <c r="B112" t="s">
        <v>177</v>
      </c>
      <c r="C112" t="s">
        <v>178</v>
      </c>
      <c r="D112" s="7" t="s">
        <v>284</v>
      </c>
      <c r="E112" s="4" t="s">
        <v>13</v>
      </c>
      <c r="F112" s="9" t="s">
        <v>10</v>
      </c>
      <c r="G112">
        <v>109</v>
      </c>
      <c r="H112" s="4">
        <v>109</v>
      </c>
      <c r="I112" s="4" t="s">
        <v>934</v>
      </c>
      <c r="J112" s="4" t="str">
        <f t="shared" si="2"/>
        <v>1101113039</v>
      </c>
      <c r="K112" s="1" t="s">
        <v>12</v>
      </c>
      <c r="L112" s="4" t="s">
        <v>11</v>
      </c>
      <c r="M112" s="8" t="s">
        <v>840</v>
      </c>
      <c r="N112" s="4" t="str">
        <f t="shared" si="3"/>
        <v>('1108','RPT_009', 'LabaTrialBalance3rdSegment', '1101113039 - NTBS - KC Mataram - IDR - 270 - INU', 'Aset', 'Aset Lancar', '109', '109', 'AND ma.main_account_id IN (1101113039)', 'A', 'Kas dan Setara Kas', 0, 0),</v>
      </c>
    </row>
    <row r="113" spans="1:14" ht="27" x14ac:dyDescent="0.3">
      <c r="A113">
        <v>1109</v>
      </c>
      <c r="B113" t="s">
        <v>177</v>
      </c>
      <c r="C113" t="s">
        <v>178</v>
      </c>
      <c r="D113" s="7" t="s">
        <v>285</v>
      </c>
      <c r="E113" s="4" t="s">
        <v>13</v>
      </c>
      <c r="F113" s="9" t="s">
        <v>10</v>
      </c>
      <c r="G113">
        <v>110</v>
      </c>
      <c r="H113" s="4">
        <v>110</v>
      </c>
      <c r="I113" s="4" t="s">
        <v>934</v>
      </c>
      <c r="J113" s="4" t="str">
        <f t="shared" si="2"/>
        <v>1101113040</v>
      </c>
      <c r="K113" s="1" t="s">
        <v>12</v>
      </c>
      <c r="L113" s="4" t="s">
        <v>11</v>
      </c>
      <c r="M113" s="8" t="s">
        <v>840</v>
      </c>
      <c r="N113" s="4" t="str">
        <f t="shared" si="3"/>
        <v>('1109','RPT_009', 'LabaTrialBalance3rdSegment', '1101113040 - NTBS - KCP Mataram - IDR - 274 - MGPA', 'Aset', 'Aset Lancar', '110', '110', 'AND ma.main_account_id IN (1101113040)', 'A', 'Kas dan Setara Kas', 0, 0),</v>
      </c>
    </row>
    <row r="114" spans="1:14" ht="27" x14ac:dyDescent="0.3">
      <c r="A114">
        <v>1110</v>
      </c>
      <c r="B114" t="s">
        <v>177</v>
      </c>
      <c r="C114" t="s">
        <v>178</v>
      </c>
      <c r="D114" s="7" t="s">
        <v>286</v>
      </c>
      <c r="E114" s="4" t="s">
        <v>13</v>
      </c>
      <c r="F114" s="9" t="s">
        <v>10</v>
      </c>
      <c r="G114">
        <v>111</v>
      </c>
      <c r="H114" s="4">
        <v>111</v>
      </c>
      <c r="I114" s="4" t="s">
        <v>934</v>
      </c>
      <c r="J114" s="4" t="str">
        <f t="shared" si="2"/>
        <v>1101113450</v>
      </c>
      <c r="K114" s="1" t="s">
        <v>12</v>
      </c>
      <c r="L114" s="4" t="s">
        <v>11</v>
      </c>
      <c r="M114" s="8" t="s">
        <v>840</v>
      </c>
      <c r="N114" s="4" t="str">
        <f t="shared" si="3"/>
        <v>('1110','RPT_009', 'LabaTrialBalance3rdSegment', '1101113450 - Victoria Bank - KC Bali - IDR - 688 - ITDC', 'Aset', 'Aset Lancar', '111', '111', 'AND ma.main_account_id IN (1101113450)', 'A', 'Kas dan Setara Kas', 0, 0),</v>
      </c>
    </row>
    <row r="115" spans="1:14" ht="27" x14ac:dyDescent="0.3">
      <c r="A115">
        <v>1111</v>
      </c>
      <c r="B115" t="s">
        <v>177</v>
      </c>
      <c r="C115" t="s">
        <v>178</v>
      </c>
      <c r="D115" s="7" t="s">
        <v>287</v>
      </c>
      <c r="E115" s="4" t="s">
        <v>13</v>
      </c>
      <c r="F115" s="9" t="s">
        <v>10</v>
      </c>
      <c r="G115">
        <v>112</v>
      </c>
      <c r="H115" s="4">
        <v>112</v>
      </c>
      <c r="I115" s="4" t="s">
        <v>934</v>
      </c>
      <c r="J115" s="4" t="str">
        <f t="shared" si="2"/>
        <v>1101113453</v>
      </c>
      <c r="K115" s="1" t="s">
        <v>12</v>
      </c>
      <c r="L115" s="4" t="s">
        <v>11</v>
      </c>
      <c r="M115" s="8" t="s">
        <v>840</v>
      </c>
      <c r="N115" s="4" t="str">
        <f t="shared" si="3"/>
        <v>('1111','RPT_009', 'LabaTrialBalance3rdSegment', '1101113453 - Victoria Bank - KC Bali - IDR - 316 - ITDC', 'Aset', 'Aset Lancar', '112', '112', 'AND ma.main_account_id IN (1101113453)', 'A', 'Kas dan Setara Kas', 0, 0),</v>
      </c>
    </row>
    <row r="116" spans="1:14" ht="27" x14ac:dyDescent="0.3">
      <c r="A116">
        <v>1112</v>
      </c>
      <c r="B116" t="s">
        <v>177</v>
      </c>
      <c r="C116" t="s">
        <v>178</v>
      </c>
      <c r="D116" s="7" t="s">
        <v>288</v>
      </c>
      <c r="E116" s="4" t="s">
        <v>13</v>
      </c>
      <c r="F116" s="9" t="s">
        <v>10</v>
      </c>
      <c r="G116">
        <v>113</v>
      </c>
      <c r="H116" s="4">
        <v>113</v>
      </c>
      <c r="I116" s="4" t="s">
        <v>934</v>
      </c>
      <c r="J116" s="4" t="str">
        <f t="shared" si="2"/>
        <v>1101113454</v>
      </c>
      <c r="K116" s="1" t="s">
        <v>12</v>
      </c>
      <c r="L116" s="4" t="s">
        <v>11</v>
      </c>
      <c r="M116" s="8" t="s">
        <v>840</v>
      </c>
      <c r="N116" s="4" t="str">
        <f t="shared" si="3"/>
        <v>('1112','RPT_009', 'LabaTrialBalance3rdSegment', '1101113454 - Victoria - KC Pondok Indah - IDR - 215 - ITDC', 'Aset', 'Aset Lancar', '113', '113', 'AND ma.main_account_id IN (1101113454)', 'A', 'Kas dan Setara Kas', 0, 0),</v>
      </c>
    </row>
    <row r="117" spans="1:14" ht="27" x14ac:dyDescent="0.3">
      <c r="A117">
        <v>1113</v>
      </c>
      <c r="B117" t="s">
        <v>177</v>
      </c>
      <c r="C117" t="s">
        <v>178</v>
      </c>
      <c r="D117" s="7" t="s">
        <v>289</v>
      </c>
      <c r="E117" s="4" t="s">
        <v>13</v>
      </c>
      <c r="F117" s="9" t="s">
        <v>10</v>
      </c>
      <c r="G117">
        <v>114</v>
      </c>
      <c r="H117" s="4">
        <v>114</v>
      </c>
      <c r="I117" s="4" t="s">
        <v>934</v>
      </c>
      <c r="J117" s="4" t="str">
        <f t="shared" si="2"/>
        <v>1101113455</v>
      </c>
      <c r="K117" s="1" t="s">
        <v>12</v>
      </c>
      <c r="L117" s="4" t="s">
        <v>11</v>
      </c>
      <c r="M117" s="8" t="s">
        <v>840</v>
      </c>
      <c r="N117" s="4" t="str">
        <f t="shared" si="3"/>
        <v>('1113','RPT_009', 'LabaTrialBalance3rdSegment', '1101113455 - Victoria - KC Bali - USD - 411 - ITDC', 'Aset', 'Aset Lancar', '114', '114', 'AND ma.main_account_id IN (1101113455)', 'A', 'Kas dan Setara Kas', 0, 0),</v>
      </c>
    </row>
    <row r="118" spans="1:14" ht="27" x14ac:dyDescent="0.3">
      <c r="A118">
        <v>1114</v>
      </c>
      <c r="B118" t="s">
        <v>177</v>
      </c>
      <c r="C118" t="s">
        <v>178</v>
      </c>
      <c r="D118" s="7" t="s">
        <v>290</v>
      </c>
      <c r="E118" s="4" t="s">
        <v>13</v>
      </c>
      <c r="F118" s="9" t="s">
        <v>10</v>
      </c>
      <c r="G118">
        <v>115</v>
      </c>
      <c r="H118" s="4">
        <v>115</v>
      </c>
      <c r="I118" s="4" t="s">
        <v>934</v>
      </c>
      <c r="J118" s="4" t="str">
        <f t="shared" si="2"/>
        <v>1101113456</v>
      </c>
      <c r="K118" s="1" t="s">
        <v>12</v>
      </c>
      <c r="L118" s="4" t="s">
        <v>11</v>
      </c>
      <c r="M118" s="8" t="s">
        <v>840</v>
      </c>
      <c r="N118" s="4" t="str">
        <f t="shared" si="3"/>
        <v>('1114','RPT_009', 'LabaTrialBalance3rdSegment', '1101113456 - BJB - KC - Teuku Umar - IDR - 001 - ITDC', 'Aset', 'Aset Lancar', '115', '115', 'AND ma.main_account_id IN (1101113456)', 'A', 'Kas dan Setara Kas', 0, 0),</v>
      </c>
    </row>
    <row r="119" spans="1:14" ht="27" x14ac:dyDescent="0.3">
      <c r="A119">
        <v>1115</v>
      </c>
      <c r="B119" t="s">
        <v>177</v>
      </c>
      <c r="C119" t="s">
        <v>178</v>
      </c>
      <c r="D119" s="7" t="s">
        <v>291</v>
      </c>
      <c r="E119" s="4" t="s">
        <v>13</v>
      </c>
      <c r="F119" s="9" t="s">
        <v>10</v>
      </c>
      <c r="G119">
        <v>116</v>
      </c>
      <c r="H119" s="4">
        <v>116</v>
      </c>
      <c r="I119" s="4" t="s">
        <v>934</v>
      </c>
      <c r="J119" s="4" t="str">
        <f t="shared" si="2"/>
        <v>1101113457</v>
      </c>
      <c r="K119" s="1" t="s">
        <v>12</v>
      </c>
      <c r="L119" s="4" t="s">
        <v>11</v>
      </c>
      <c r="M119" s="8" t="s">
        <v>840</v>
      </c>
      <c r="N119" s="4" t="str">
        <f t="shared" si="3"/>
        <v>('1115','RPT_009', 'LabaTrialBalance3rdSegment', '1101113457 - J Trust - KCP Sahid Sudirman - IDR - 557 - ITDC', 'Aset', 'Aset Lancar', '116', '116', 'AND ma.main_account_id IN (1101113457)', 'A', 'Kas dan Setara Kas', 0, 0),</v>
      </c>
    </row>
    <row r="120" spans="1:14" ht="27" x14ac:dyDescent="0.3">
      <c r="A120">
        <v>1116</v>
      </c>
      <c r="B120" t="s">
        <v>177</v>
      </c>
      <c r="C120" t="s">
        <v>178</v>
      </c>
      <c r="D120" s="6" t="s">
        <v>292</v>
      </c>
      <c r="E120" s="4" t="s">
        <v>13</v>
      </c>
      <c r="F120" s="9" t="s">
        <v>10</v>
      </c>
      <c r="G120">
        <v>117</v>
      </c>
      <c r="H120" s="4">
        <v>117</v>
      </c>
      <c r="I120" s="4" t="s">
        <v>934</v>
      </c>
      <c r="J120" s="4" t="str">
        <f t="shared" si="2"/>
        <v>1101200000</v>
      </c>
      <c r="K120" s="1" t="s">
        <v>12</v>
      </c>
      <c r="L120" s="4" t="s">
        <v>11</v>
      </c>
      <c r="M120" s="8" t="s">
        <v>840</v>
      </c>
      <c r="N120" s="4" t="str">
        <f t="shared" si="3"/>
        <v>('1116','RPT_009', 'LabaTrialBalance3rdSegment', '1101200000 -  Deposito jangka pendek kurang dari 3 bulan - pihak berelasi', 'Aset', 'Aset Lancar', '117', '117', 'AND ma.main_account_id IN (1101200000)', 'A', 'Kas dan Setara Kas', 0, 0),</v>
      </c>
    </row>
    <row r="121" spans="1:14" ht="40.200000000000003" x14ac:dyDescent="0.3">
      <c r="A121">
        <v>1117</v>
      </c>
      <c r="B121" t="s">
        <v>177</v>
      </c>
      <c r="C121" t="s">
        <v>178</v>
      </c>
      <c r="D121" s="7" t="s">
        <v>293</v>
      </c>
      <c r="E121" s="4" t="s">
        <v>13</v>
      </c>
      <c r="F121" s="9" t="s">
        <v>10</v>
      </c>
      <c r="G121">
        <v>118</v>
      </c>
      <c r="H121" s="4">
        <v>118</v>
      </c>
      <c r="I121" s="4" t="s">
        <v>934</v>
      </c>
      <c r="J121" s="4" t="str">
        <f t="shared" si="2"/>
        <v>1101200002</v>
      </c>
      <c r="K121" s="1" t="s">
        <v>12</v>
      </c>
      <c r="L121" s="4" t="s">
        <v>11</v>
      </c>
      <c r="M121" s="8" t="s">
        <v>840</v>
      </c>
      <c r="N121" s="4" t="str">
        <f t="shared" si="3"/>
        <v>('1117','RPT_009', 'LabaTrialBalance3rdSegment', '1101200002 - Deposito jangka pendek kurang dari 3 bulan - IDR - Pihak berelasi Lainnya', 'Aset', 'Aset Lancar', '118', '118', 'AND ma.main_account_id IN (1101200002)', 'A', 'Kas dan Setara Kas', 0, 0),</v>
      </c>
    </row>
    <row r="122" spans="1:14" ht="40.200000000000003" x14ac:dyDescent="0.3">
      <c r="A122">
        <v>1118</v>
      </c>
      <c r="B122" t="s">
        <v>177</v>
      </c>
      <c r="C122" t="s">
        <v>178</v>
      </c>
      <c r="D122" s="7" t="s">
        <v>294</v>
      </c>
      <c r="E122" s="4" t="s">
        <v>13</v>
      </c>
      <c r="F122" s="9" t="s">
        <v>10</v>
      </c>
      <c r="G122">
        <v>119</v>
      </c>
      <c r="H122" s="4">
        <v>119</v>
      </c>
      <c r="I122" s="4" t="s">
        <v>934</v>
      </c>
      <c r="J122" s="4" t="str">
        <f t="shared" si="2"/>
        <v>1101200005</v>
      </c>
      <c r="K122" s="1" t="s">
        <v>12</v>
      </c>
      <c r="L122" s="4" t="s">
        <v>11</v>
      </c>
      <c r="M122" s="8" t="s">
        <v>840</v>
      </c>
      <c r="N122" s="4" t="str">
        <f t="shared" si="3"/>
        <v>('1118','RPT_009', 'LabaTrialBalance3rdSegment', '1101200005 - Deposito jangka pendek kurang dari 3 bulan - USD - Pihak berelasi Lainnya', 'Aset', 'Aset Lancar', '119', '119', 'AND ma.main_account_id IN (1101200005)', 'A', 'Kas dan Setara Kas', 0, 0),</v>
      </c>
    </row>
    <row r="123" spans="1:14" ht="27" x14ac:dyDescent="0.3">
      <c r="A123">
        <v>1119</v>
      </c>
      <c r="B123" t="s">
        <v>177</v>
      </c>
      <c r="C123" t="s">
        <v>178</v>
      </c>
      <c r="D123" s="6" t="s">
        <v>295</v>
      </c>
      <c r="E123" s="4" t="s">
        <v>13</v>
      </c>
      <c r="F123" s="9" t="s">
        <v>10</v>
      </c>
      <c r="G123">
        <v>120</v>
      </c>
      <c r="H123" s="4">
        <v>120</v>
      </c>
      <c r="I123" s="4" t="s">
        <v>934</v>
      </c>
      <c r="J123" s="4" t="str">
        <f t="shared" si="2"/>
        <v>1101220000</v>
      </c>
      <c r="K123" s="1" t="s">
        <v>12</v>
      </c>
      <c r="L123" s="4" t="s">
        <v>11</v>
      </c>
      <c r="M123" s="8" t="s">
        <v>840</v>
      </c>
      <c r="N123" s="4" t="str">
        <f t="shared" si="3"/>
        <v>('1119','RPT_009', 'LabaTrialBalance3rdSegment', '1101220000 -  Deposito jangka pendek kurang dari 3 bulan - pihak ketiga', 'Aset', 'Aset Lancar', '120', '120', 'AND ma.main_account_id IN (1101220000)', 'A', 'Kas dan Setara Kas', 0, 0),</v>
      </c>
    </row>
    <row r="124" spans="1:14" ht="27" x14ac:dyDescent="0.3">
      <c r="A124">
        <v>1120</v>
      </c>
      <c r="B124" t="s">
        <v>177</v>
      </c>
      <c r="C124" t="s">
        <v>178</v>
      </c>
      <c r="D124" s="7" t="s">
        <v>296</v>
      </c>
      <c r="E124" s="4" t="s">
        <v>13</v>
      </c>
      <c r="F124" s="9" t="s">
        <v>10</v>
      </c>
      <c r="G124">
        <v>121</v>
      </c>
      <c r="H124" s="4">
        <v>121</v>
      </c>
      <c r="I124" s="4" t="s">
        <v>934</v>
      </c>
      <c r="J124" s="4" t="str">
        <f t="shared" si="2"/>
        <v>1101220002</v>
      </c>
      <c r="K124" s="1" t="s">
        <v>12</v>
      </c>
      <c r="L124" s="4" t="s">
        <v>11</v>
      </c>
      <c r="M124" s="8" t="s">
        <v>840</v>
      </c>
      <c r="N124" s="4" t="str">
        <f t="shared" si="3"/>
        <v>('1120','RPT_009', 'LabaTrialBalance3rdSegment', '1101220002 - Deposito jangka pendek kurang dari 3 bulan - IDR - Pihak ketiga', 'Aset', 'Aset Lancar', '121', '121', 'AND ma.main_account_id IN (1101220002)', 'A', 'Kas dan Setara Kas', 0, 0),</v>
      </c>
    </row>
    <row r="125" spans="1:14" ht="31.2" x14ac:dyDescent="0.3">
      <c r="A125">
        <v>1121</v>
      </c>
      <c r="B125" t="s">
        <v>177</v>
      </c>
      <c r="C125" t="s">
        <v>178</v>
      </c>
      <c r="D125" s="5" t="s">
        <v>114</v>
      </c>
      <c r="E125" s="4" t="s">
        <v>13</v>
      </c>
      <c r="F125" s="9" t="s">
        <v>10</v>
      </c>
      <c r="G125">
        <v>122</v>
      </c>
      <c r="H125" s="4">
        <v>122</v>
      </c>
      <c r="I125" s="4" t="s">
        <v>934</v>
      </c>
      <c r="J125" s="4" t="str">
        <f t="shared" si="2"/>
        <v>1102000000</v>
      </c>
      <c r="K125" s="1" t="s">
        <v>12</v>
      </c>
      <c r="L125" s="4" t="s">
        <v>11</v>
      </c>
      <c r="M125" s="8" t="s">
        <v>857</v>
      </c>
      <c r="N125" s="4" t="str">
        <f t="shared" si="3"/>
        <v>('1121','RPT_009', 'LabaTrialBalance3rdSegment', '1102000000 -  Kas dan setara kas yang dibatasi penggunaannya', 'Aset', 'Aset Lancar', '122', '122', 'AND ma.main_account_id IN (1102000000)', 'A', ' Kas dan setara kas yang dibatasi penggunaannya', 0, 0),</v>
      </c>
    </row>
    <row r="126" spans="1:14" ht="31.2" x14ac:dyDescent="0.3">
      <c r="A126">
        <v>1122</v>
      </c>
      <c r="B126" t="s">
        <v>177</v>
      </c>
      <c r="C126" t="s">
        <v>178</v>
      </c>
      <c r="D126" s="6" t="s">
        <v>297</v>
      </c>
      <c r="E126" s="4" t="s">
        <v>13</v>
      </c>
      <c r="F126" s="9" t="s">
        <v>10</v>
      </c>
      <c r="G126">
        <v>123</v>
      </c>
      <c r="H126" s="4">
        <v>123</v>
      </c>
      <c r="I126" s="4" t="s">
        <v>934</v>
      </c>
      <c r="J126" s="4" t="str">
        <f t="shared" si="2"/>
        <v>1102010000</v>
      </c>
      <c r="K126" s="1" t="s">
        <v>12</v>
      </c>
      <c r="L126" s="4" t="s">
        <v>11</v>
      </c>
      <c r="M126" s="8" t="s">
        <v>857</v>
      </c>
      <c r="N126" s="4" t="str">
        <f t="shared" si="3"/>
        <v>('1122','RPT_009', 'LabaTrialBalance3rdSegment', '1102010000 -  Kas dan setara kas yang dibatasi penggunaannya - Pihak Berelasi', 'Aset', 'Aset Lancar', '123', '123', 'AND ma.main_account_id IN (1102010000)', 'A', ' Kas dan setara kas yang dibatasi penggunaannya', 0, 0),</v>
      </c>
    </row>
    <row r="127" spans="1:14" ht="40.200000000000003" x14ac:dyDescent="0.3">
      <c r="A127">
        <v>1123</v>
      </c>
      <c r="B127" t="s">
        <v>177</v>
      </c>
      <c r="C127" t="s">
        <v>178</v>
      </c>
      <c r="D127" s="7" t="s">
        <v>298</v>
      </c>
      <c r="E127" s="4" t="s">
        <v>13</v>
      </c>
      <c r="F127" s="9" t="s">
        <v>10</v>
      </c>
      <c r="G127">
        <v>124</v>
      </c>
      <c r="H127" s="4">
        <v>124</v>
      </c>
      <c r="I127" s="4" t="s">
        <v>934</v>
      </c>
      <c r="J127" s="4" t="str">
        <f t="shared" si="2"/>
        <v>1102010001</v>
      </c>
      <c r="K127" s="1" t="s">
        <v>12</v>
      </c>
      <c r="L127" s="4" t="s">
        <v>11</v>
      </c>
      <c r="M127" s="8" t="s">
        <v>857</v>
      </c>
      <c r="N127" s="4" t="str">
        <f t="shared" si="3"/>
        <v>('1123','RPT_009', 'LabaTrialBalance3rdSegment', '1102010001 - Kas dan setara kas yang dibatasi penggunaannya - IDR - Pihak Berelasi Lainnya', 'Aset', 'Aset Lancar', '124', '124', 'AND ma.main_account_id IN (1102010001)', 'A', ' Kas dan setara kas yang dibatasi penggunaannya', 0, 0),</v>
      </c>
    </row>
    <row r="128" spans="1:14" ht="40.200000000000003" x14ac:dyDescent="0.3">
      <c r="A128">
        <v>1124</v>
      </c>
      <c r="B128" t="s">
        <v>177</v>
      </c>
      <c r="C128" t="s">
        <v>178</v>
      </c>
      <c r="D128" s="7" t="s">
        <v>299</v>
      </c>
      <c r="E128" s="4" t="s">
        <v>13</v>
      </c>
      <c r="F128" s="9" t="s">
        <v>10</v>
      </c>
      <c r="G128">
        <v>125</v>
      </c>
      <c r="H128" s="4">
        <v>125</v>
      </c>
      <c r="I128" s="4" t="s">
        <v>934</v>
      </c>
      <c r="J128" s="4" t="str">
        <f t="shared" si="2"/>
        <v>1102010002</v>
      </c>
      <c r="K128" s="1" t="s">
        <v>12</v>
      </c>
      <c r="L128" s="4" t="s">
        <v>11</v>
      </c>
      <c r="M128" s="8" t="s">
        <v>857</v>
      </c>
      <c r="N128" s="4" t="str">
        <f t="shared" si="3"/>
        <v>('1124','RPT_009', 'LabaTrialBalance3rdSegment', '1102010002 - Kas dan setara kas yang dibatasi penggunaannya - USD - Pihak Berelasi Lainnya', 'Aset', 'Aset Lancar', '125', '125', 'AND ma.main_account_id IN (1102010002)', 'A', ' Kas dan setara kas yang dibatasi penggunaannya', 0, 0),</v>
      </c>
    </row>
    <row r="129" spans="1:14" ht="31.2" x14ac:dyDescent="0.3">
      <c r="A129">
        <v>1125</v>
      </c>
      <c r="B129" t="s">
        <v>177</v>
      </c>
      <c r="C129" t="s">
        <v>178</v>
      </c>
      <c r="D129" s="6" t="s">
        <v>300</v>
      </c>
      <c r="E129" s="4" t="s">
        <v>13</v>
      </c>
      <c r="F129" s="9" t="s">
        <v>10</v>
      </c>
      <c r="G129">
        <v>126</v>
      </c>
      <c r="H129" s="4">
        <v>126</v>
      </c>
      <c r="I129" s="4" t="s">
        <v>934</v>
      </c>
      <c r="J129" s="4" t="str">
        <f t="shared" si="2"/>
        <v>1102020000</v>
      </c>
      <c r="K129" s="1" t="s">
        <v>12</v>
      </c>
      <c r="L129" s="4" t="s">
        <v>11</v>
      </c>
      <c r="M129" s="8" t="s">
        <v>857</v>
      </c>
      <c r="N129" s="4" t="str">
        <f t="shared" si="3"/>
        <v>('1125','RPT_009', 'LabaTrialBalance3rdSegment', '1102020000 -  Kas dan setara kas yang dibatasi penggunaannya - Pihak Ketiga', 'Aset', 'Aset Lancar', '126', '126', 'AND ma.main_account_id IN (1102020000)', 'A', ' Kas dan setara kas yang dibatasi penggunaannya', 0, 0),</v>
      </c>
    </row>
    <row r="130" spans="1:14" ht="40.200000000000003" x14ac:dyDescent="0.3">
      <c r="A130">
        <v>1126</v>
      </c>
      <c r="B130" t="s">
        <v>177</v>
      </c>
      <c r="C130" t="s">
        <v>178</v>
      </c>
      <c r="D130" s="7" t="s">
        <v>301</v>
      </c>
      <c r="E130" s="4" t="s">
        <v>13</v>
      </c>
      <c r="F130" s="9" t="s">
        <v>10</v>
      </c>
      <c r="G130">
        <v>127</v>
      </c>
      <c r="H130" s="4">
        <v>127</v>
      </c>
      <c r="I130" s="4" t="s">
        <v>934</v>
      </c>
      <c r="J130" s="4" t="str">
        <f t="shared" si="2"/>
        <v>1102020001</v>
      </c>
      <c r="K130" s="1" t="s">
        <v>12</v>
      </c>
      <c r="L130" s="4" t="s">
        <v>11</v>
      </c>
      <c r="M130" s="8" t="s">
        <v>857</v>
      </c>
      <c r="N130" s="4" t="str">
        <f t="shared" si="3"/>
        <v>('1126','RPT_009', 'LabaTrialBalance3rdSegment', '1102020001 - Kas dan setara kas yang dibatasi penggunaannya - IDR - Pihak Ketiga', 'Aset', 'Aset Lancar', '127', '127', 'AND ma.main_account_id IN (1102020001)', 'A', ' Kas dan setara kas yang dibatasi penggunaannya', 0, 0),</v>
      </c>
    </row>
    <row r="131" spans="1:14" ht="40.200000000000003" x14ac:dyDescent="0.3">
      <c r="A131">
        <v>1127</v>
      </c>
      <c r="B131" t="s">
        <v>177</v>
      </c>
      <c r="C131" t="s">
        <v>178</v>
      </c>
      <c r="D131" s="7" t="s">
        <v>302</v>
      </c>
      <c r="E131" s="4" t="s">
        <v>13</v>
      </c>
      <c r="F131" s="9" t="s">
        <v>10</v>
      </c>
      <c r="G131">
        <v>128</v>
      </c>
      <c r="H131" s="4">
        <v>128</v>
      </c>
      <c r="I131" s="4" t="s">
        <v>934</v>
      </c>
      <c r="J131" s="4" t="str">
        <f t="shared" si="2"/>
        <v>1102020002</v>
      </c>
      <c r="K131" s="1" t="s">
        <v>12</v>
      </c>
      <c r="L131" s="4" t="s">
        <v>11</v>
      </c>
      <c r="M131" s="8" t="s">
        <v>857</v>
      </c>
      <c r="N131" s="4" t="str">
        <f t="shared" si="3"/>
        <v>('1127','RPT_009', 'LabaTrialBalance3rdSegment', '1102020002 - Kas dan setara kas yang dibatasi penggunaannya - USD - Pihak Ketiga', 'Aset', 'Aset Lancar', '128', '128', 'AND ma.main_account_id IN (1102020002)', 'A', ' Kas dan setara kas yang dibatasi penggunaannya', 0, 0),</v>
      </c>
    </row>
    <row r="132" spans="1:14" ht="31.2" x14ac:dyDescent="0.3">
      <c r="A132">
        <v>1128</v>
      </c>
      <c r="B132" t="s">
        <v>177</v>
      </c>
      <c r="C132" t="s">
        <v>178</v>
      </c>
      <c r="D132" s="5" t="s">
        <v>115</v>
      </c>
      <c r="E132" s="4" t="s">
        <v>13</v>
      </c>
      <c r="F132" s="9" t="s">
        <v>10</v>
      </c>
      <c r="G132">
        <v>129</v>
      </c>
      <c r="H132" s="4">
        <v>129</v>
      </c>
      <c r="I132" s="4" t="s">
        <v>934</v>
      </c>
      <c r="J132" s="4" t="str">
        <f t="shared" ref="J132:J195" si="4">_xlfn.TEXTBEFORE(D132," -")</f>
        <v>1104000000</v>
      </c>
      <c r="K132" s="1" t="s">
        <v>12</v>
      </c>
      <c r="L132" s="4" t="s">
        <v>11</v>
      </c>
      <c r="M132" s="8" t="s">
        <v>842</v>
      </c>
      <c r="N132" s="4" t="str">
        <f t="shared" si="3"/>
        <v>('1128','RPT_009', 'LabaTrialBalance3rdSegment', '1104000000 -  Piutang usaha - Pihak Berelasi', 'Aset', 'Aset Lancar', '129', '129', 'AND ma.main_account_id IN (1104000000)', 'A', 'Piutang usaha - Pihak Berelasi', 0, 0),</v>
      </c>
    </row>
    <row r="133" spans="1:14" ht="31.2" x14ac:dyDescent="0.3">
      <c r="A133">
        <v>1129</v>
      </c>
      <c r="B133" t="s">
        <v>177</v>
      </c>
      <c r="C133" t="s">
        <v>178</v>
      </c>
      <c r="D133" s="6" t="s">
        <v>303</v>
      </c>
      <c r="E133" s="4" t="s">
        <v>13</v>
      </c>
      <c r="F133" s="9" t="s">
        <v>10</v>
      </c>
      <c r="G133">
        <v>130</v>
      </c>
      <c r="H133" s="4">
        <v>130</v>
      </c>
      <c r="I133" s="4" t="s">
        <v>934</v>
      </c>
      <c r="J133" s="4" t="str">
        <f t="shared" si="4"/>
        <v>1104010000</v>
      </c>
      <c r="K133" s="1" t="s">
        <v>12</v>
      </c>
      <c r="L133" s="4" t="s">
        <v>11</v>
      </c>
      <c r="M133" s="8" t="s">
        <v>842</v>
      </c>
      <c r="N133" s="4" t="str">
        <f t="shared" ref="N133:N196" si="5">"('"&amp;A133&amp;"','"&amp;B133&amp;"', '"&amp;C133&amp;"', '"&amp;D133&amp;"', '"&amp;E133&amp;"', '"&amp;F133&amp;"', '"&amp;G133&amp;"', '"&amp;H133&amp;"', '"&amp;I133&amp;J133&amp;K133&amp;"', '"&amp;L133&amp;"', '"&amp;M133&amp;"', 0, 0),"</f>
        <v>('1129','RPT_009', 'LabaTrialBalance3rdSegment', '1104010000 -  Piutang Usaha pihak berelasi - Intragroup InJourney', 'Aset', 'Aset Lancar', '130', '130', 'AND ma.main_account_id IN (1104010000)', 'A', 'Piutang usaha - Pihak Berelasi', 0, 0),</v>
      </c>
    </row>
    <row r="134" spans="1:14" ht="31.2" x14ac:dyDescent="0.3">
      <c r="A134">
        <v>1130</v>
      </c>
      <c r="B134" t="s">
        <v>177</v>
      </c>
      <c r="C134" t="s">
        <v>178</v>
      </c>
      <c r="D134" s="7" t="s">
        <v>304</v>
      </c>
      <c r="E134" s="4" t="s">
        <v>13</v>
      </c>
      <c r="F134" s="9" t="s">
        <v>10</v>
      </c>
      <c r="G134">
        <v>131</v>
      </c>
      <c r="H134" s="4">
        <v>131</v>
      </c>
      <c r="I134" s="4" t="s">
        <v>934</v>
      </c>
      <c r="J134" s="4" t="str">
        <f t="shared" si="4"/>
        <v>1104010001</v>
      </c>
      <c r="K134" s="1" t="s">
        <v>12</v>
      </c>
      <c r="L134" s="4" t="s">
        <v>11</v>
      </c>
      <c r="M134" s="8" t="s">
        <v>842</v>
      </c>
      <c r="N134" s="4" t="str">
        <f t="shared" si="5"/>
        <v>('1130','RPT_009', 'LabaTrialBalance3rdSegment', '1104010001 - Piutang Usaha - IDR - Pihak berelasi - Intragroup Injourney', 'Aset', 'Aset Lancar', '131', '131', 'AND ma.main_account_id IN (1104010001)', 'A', 'Piutang usaha - Pihak Berelasi', 0, 0),</v>
      </c>
    </row>
    <row r="135" spans="1:14" ht="31.2" x14ac:dyDescent="0.3">
      <c r="A135">
        <v>1131</v>
      </c>
      <c r="B135" t="s">
        <v>177</v>
      </c>
      <c r="C135" t="s">
        <v>178</v>
      </c>
      <c r="D135" s="6" t="s">
        <v>305</v>
      </c>
      <c r="E135" s="4" t="s">
        <v>13</v>
      </c>
      <c r="F135" s="9" t="s">
        <v>10</v>
      </c>
      <c r="G135">
        <v>132</v>
      </c>
      <c r="H135" s="4">
        <v>132</v>
      </c>
      <c r="I135" s="4" t="s">
        <v>934</v>
      </c>
      <c r="J135" s="4" t="str">
        <f t="shared" si="4"/>
        <v>1104020000</v>
      </c>
      <c r="K135" s="1" t="s">
        <v>12</v>
      </c>
      <c r="L135" s="4" t="s">
        <v>11</v>
      </c>
      <c r="M135" s="8" t="s">
        <v>842</v>
      </c>
      <c r="N135" s="4" t="str">
        <f t="shared" si="5"/>
        <v>('1131','RPT_009', 'LabaTrialBalance3rdSegment', '1104020000 -  CKPN atas piutang usaha - Pihak Berelasi - Intragroup InJourney', 'Aset', 'Aset Lancar', '132', '132', 'AND ma.main_account_id IN (1104020000)', 'A', 'Piutang usaha - Pihak Berelasi', 0, 0),</v>
      </c>
    </row>
    <row r="136" spans="1:14" ht="31.2" x14ac:dyDescent="0.3">
      <c r="A136">
        <v>1132</v>
      </c>
      <c r="B136" t="s">
        <v>177</v>
      </c>
      <c r="C136" t="s">
        <v>178</v>
      </c>
      <c r="D136" s="7" t="s">
        <v>306</v>
      </c>
      <c r="E136" s="4" t="s">
        <v>13</v>
      </c>
      <c r="F136" s="9" t="s">
        <v>10</v>
      </c>
      <c r="G136">
        <v>133</v>
      </c>
      <c r="H136" s="4">
        <v>133</v>
      </c>
      <c r="I136" s="4" t="s">
        <v>934</v>
      </c>
      <c r="J136" s="4" t="str">
        <f t="shared" si="4"/>
        <v>1104020001</v>
      </c>
      <c r="K136" s="1" t="s">
        <v>12</v>
      </c>
      <c r="L136" s="4" t="s">
        <v>11</v>
      </c>
      <c r="M136" s="8" t="s">
        <v>842</v>
      </c>
      <c r="N136" s="4" t="str">
        <f t="shared" si="5"/>
        <v>('1132','RPT_009', 'LabaTrialBalance3rdSegment', '1104020001 - CKPN atas piutang usaha - Pihak Berelasi - Intragroup Injourney', 'Aset', 'Aset Lancar', '133', '133', 'AND ma.main_account_id IN (1104020001)', 'A', 'Piutang usaha - Pihak Berelasi', 0, 0),</v>
      </c>
    </row>
    <row r="137" spans="1:14" ht="31.2" x14ac:dyDescent="0.3">
      <c r="A137">
        <v>1133</v>
      </c>
      <c r="B137" t="s">
        <v>177</v>
      </c>
      <c r="C137" t="s">
        <v>178</v>
      </c>
      <c r="D137" s="6" t="s">
        <v>307</v>
      </c>
      <c r="E137" s="4" t="s">
        <v>13</v>
      </c>
      <c r="F137" s="9" t="s">
        <v>10</v>
      </c>
      <c r="G137">
        <v>134</v>
      </c>
      <c r="H137" s="4">
        <v>134</v>
      </c>
      <c r="I137" s="4" t="s">
        <v>934</v>
      </c>
      <c r="J137" s="4" t="str">
        <f t="shared" si="4"/>
        <v>1104030000</v>
      </c>
      <c r="K137" s="1" t="s">
        <v>12</v>
      </c>
      <c r="L137" s="4" t="s">
        <v>11</v>
      </c>
      <c r="M137" s="8" t="s">
        <v>842</v>
      </c>
      <c r="N137" s="4" t="str">
        <f t="shared" si="5"/>
        <v>('1133','RPT_009', 'LabaTrialBalance3rdSegment', '1104030000 -  Piutang usaha Pihak Berelasi - Lainnya', 'Aset', 'Aset Lancar', '134', '134', 'AND ma.main_account_id IN (1104030000)', 'A', 'Piutang usaha - Pihak Berelasi', 0, 0),</v>
      </c>
    </row>
    <row r="138" spans="1:14" ht="31.2" x14ac:dyDescent="0.3">
      <c r="A138" s="4">
        <v>1134</v>
      </c>
      <c r="B138" s="4" t="s">
        <v>177</v>
      </c>
      <c r="C138" s="4" t="s">
        <v>178</v>
      </c>
      <c r="D138" s="7" t="s">
        <v>308</v>
      </c>
      <c r="E138" s="4" t="s">
        <v>13</v>
      </c>
      <c r="F138" s="9" t="s">
        <v>10</v>
      </c>
      <c r="G138" s="4">
        <v>135</v>
      </c>
      <c r="H138" s="4">
        <v>135</v>
      </c>
      <c r="I138" s="4" t="s">
        <v>934</v>
      </c>
      <c r="J138" s="4" t="str">
        <f t="shared" si="4"/>
        <v>1104030001</v>
      </c>
      <c r="K138" s="1" t="s">
        <v>12</v>
      </c>
      <c r="L138" s="4" t="s">
        <v>11</v>
      </c>
      <c r="M138" s="8" t="s">
        <v>842</v>
      </c>
      <c r="N138" s="4" t="str">
        <f t="shared" si="5"/>
        <v>('1134','RPT_009', 'LabaTrialBalance3rdSegment', '1104030001 - Piutang usaha - IDR - Pihak Berelasi - Lainnya', 'Aset', 'Aset Lancar', '135', '135', 'AND ma.main_account_id IN (1104030001)', 'A', 'Piutang usaha - Pihak Berelasi', 0, 0),</v>
      </c>
    </row>
    <row r="139" spans="1:14" ht="31.2" x14ac:dyDescent="0.3">
      <c r="A139" s="4">
        <v>1135</v>
      </c>
      <c r="B139" s="4" t="s">
        <v>177</v>
      </c>
      <c r="C139" s="4" t="s">
        <v>178</v>
      </c>
      <c r="D139" s="6" t="s">
        <v>309</v>
      </c>
      <c r="E139" s="4" t="s">
        <v>13</v>
      </c>
      <c r="F139" s="9" t="s">
        <v>10</v>
      </c>
      <c r="G139" s="4">
        <v>136</v>
      </c>
      <c r="H139" s="4">
        <v>136</v>
      </c>
      <c r="I139" s="4" t="s">
        <v>934</v>
      </c>
      <c r="J139" s="4" t="str">
        <f t="shared" si="4"/>
        <v>1104040000</v>
      </c>
      <c r="K139" s="1" t="s">
        <v>12</v>
      </c>
      <c r="L139" s="4" t="s">
        <v>11</v>
      </c>
      <c r="M139" s="8" t="s">
        <v>842</v>
      </c>
      <c r="N139" s="4" t="str">
        <f t="shared" si="5"/>
        <v>('1135','RPT_009', 'LabaTrialBalance3rdSegment', '1104040000 -  CKPN atas piutang usaha - Pihak Berelasi - Lainnya', 'Aset', 'Aset Lancar', '136', '136', 'AND ma.main_account_id IN (1104040000)', 'A', 'Piutang usaha - Pihak Berelasi', 0, 0),</v>
      </c>
    </row>
    <row r="140" spans="1:14" ht="31.2" x14ac:dyDescent="0.3">
      <c r="A140" s="4">
        <v>1136</v>
      </c>
      <c r="B140" s="4" t="s">
        <v>177</v>
      </c>
      <c r="C140" s="4" t="s">
        <v>178</v>
      </c>
      <c r="D140" s="7" t="s">
        <v>310</v>
      </c>
      <c r="E140" s="4" t="s">
        <v>13</v>
      </c>
      <c r="F140" s="9" t="s">
        <v>10</v>
      </c>
      <c r="G140" s="4">
        <v>137</v>
      </c>
      <c r="H140" s="4">
        <v>137</v>
      </c>
      <c r="I140" s="4" t="s">
        <v>934</v>
      </c>
      <c r="J140" s="4" t="str">
        <f t="shared" si="4"/>
        <v>1104040001</v>
      </c>
      <c r="K140" s="1" t="s">
        <v>12</v>
      </c>
      <c r="L140" s="4" t="s">
        <v>11</v>
      </c>
      <c r="M140" s="8" t="s">
        <v>842</v>
      </c>
      <c r="N140" s="4" t="str">
        <f t="shared" si="5"/>
        <v>('1136','RPT_009', 'LabaTrialBalance3rdSegment', '1104040001 - CKPN atas piutang usaha - Pihak Berelasi - Lainnya', 'Aset', 'Aset Lancar', '137', '137', 'AND ma.main_account_id IN (1104040001)', 'A', 'Piutang usaha - Pihak Berelasi', 0, 0),</v>
      </c>
    </row>
    <row r="141" spans="1:14" ht="26.4" x14ac:dyDescent="0.3">
      <c r="A141" s="4">
        <v>1137</v>
      </c>
      <c r="B141" s="4" t="s">
        <v>177</v>
      </c>
      <c r="C141" s="4" t="s">
        <v>178</v>
      </c>
      <c r="D141" s="5" t="s">
        <v>116</v>
      </c>
      <c r="E141" s="4" t="s">
        <v>13</v>
      </c>
      <c r="F141" s="9" t="s">
        <v>10</v>
      </c>
      <c r="G141" s="4">
        <v>138</v>
      </c>
      <c r="H141" s="4">
        <v>138</v>
      </c>
      <c r="I141" s="4" t="s">
        <v>934</v>
      </c>
      <c r="J141" s="4" t="str">
        <f t="shared" si="4"/>
        <v>1105000000</v>
      </c>
      <c r="K141" s="1" t="s">
        <v>12</v>
      </c>
      <c r="L141" s="4" t="s">
        <v>11</v>
      </c>
      <c r="M141" s="8" t="s">
        <v>843</v>
      </c>
      <c r="N141" s="4" t="str">
        <f t="shared" si="5"/>
        <v>('1137','RPT_009', 'LabaTrialBalance3rdSegment', '1105000000 -  Piutang usaha - Pihak Ketiga', 'Aset', 'Aset Lancar', '138', '138', 'AND ma.main_account_id IN (1105000000)', 'A', 'Piutang usaha - Pihak Ketiga', 0, 0),</v>
      </c>
    </row>
    <row r="142" spans="1:14" ht="27" x14ac:dyDescent="0.3">
      <c r="A142" s="4">
        <v>1138</v>
      </c>
      <c r="B142" s="4" t="s">
        <v>177</v>
      </c>
      <c r="C142" s="4" t="s">
        <v>178</v>
      </c>
      <c r="D142" s="6" t="s">
        <v>311</v>
      </c>
      <c r="E142" s="4" t="s">
        <v>13</v>
      </c>
      <c r="F142" s="9" t="s">
        <v>10</v>
      </c>
      <c r="G142" s="4">
        <v>139</v>
      </c>
      <c r="H142" s="4">
        <v>139</v>
      </c>
      <c r="I142" s="4" t="s">
        <v>934</v>
      </c>
      <c r="J142" s="4" t="str">
        <f t="shared" si="4"/>
        <v>1105010000</v>
      </c>
      <c r="K142" s="1" t="s">
        <v>12</v>
      </c>
      <c r="L142" s="4" t="s">
        <v>11</v>
      </c>
      <c r="M142" s="8" t="s">
        <v>843</v>
      </c>
      <c r="N142" s="4" t="str">
        <f t="shared" si="5"/>
        <v>('1138','RPT_009', 'LabaTrialBalance3rdSegment', '1105010000 -  Piutang usaha - Pihak Ketiga', 'Aset', 'Aset Lancar', '139', '139', 'AND ma.main_account_id IN (1105010000)', 'A', 'Piutang usaha - Pihak Ketiga', 0, 0),</v>
      </c>
    </row>
    <row r="143" spans="1:14" ht="27" x14ac:dyDescent="0.3">
      <c r="A143" s="4">
        <v>1139</v>
      </c>
      <c r="B143" s="4" t="s">
        <v>177</v>
      </c>
      <c r="C143" s="4" t="s">
        <v>178</v>
      </c>
      <c r="D143" s="7" t="s">
        <v>312</v>
      </c>
      <c r="E143" s="4" t="s">
        <v>13</v>
      </c>
      <c r="F143" s="9" t="s">
        <v>10</v>
      </c>
      <c r="G143" s="4">
        <v>140</v>
      </c>
      <c r="H143" s="4">
        <v>140</v>
      </c>
      <c r="I143" s="4" t="s">
        <v>934</v>
      </c>
      <c r="J143" s="4" t="str">
        <f t="shared" si="4"/>
        <v>1105010001</v>
      </c>
      <c r="K143" s="1" t="s">
        <v>12</v>
      </c>
      <c r="L143" s="4" t="s">
        <v>11</v>
      </c>
      <c r="M143" s="8" t="s">
        <v>843</v>
      </c>
      <c r="N143" s="4" t="str">
        <f t="shared" si="5"/>
        <v>('1139','RPT_009', 'LabaTrialBalance3rdSegment', '1105010001 - Piutang usaha - IDR - Pihak Ketiga', 'Aset', 'Aset Lancar', '140', '140', 'AND ma.main_account_id IN (1105010001)', 'A', 'Piutang usaha - Pihak Ketiga', 0, 0),</v>
      </c>
    </row>
    <row r="144" spans="1:14" ht="27" x14ac:dyDescent="0.3">
      <c r="A144" s="4">
        <v>1140</v>
      </c>
      <c r="B144" s="4" t="s">
        <v>177</v>
      </c>
      <c r="C144" s="4" t="s">
        <v>178</v>
      </c>
      <c r="D144" s="6" t="s">
        <v>313</v>
      </c>
      <c r="E144" s="4" t="s">
        <v>13</v>
      </c>
      <c r="F144" s="9" t="s">
        <v>10</v>
      </c>
      <c r="G144" s="4">
        <v>141</v>
      </c>
      <c r="H144" s="4">
        <v>141</v>
      </c>
      <c r="I144" s="4" t="s">
        <v>934</v>
      </c>
      <c r="J144" s="4" t="str">
        <f t="shared" si="4"/>
        <v>1105020000</v>
      </c>
      <c r="K144" s="1" t="s">
        <v>12</v>
      </c>
      <c r="L144" s="4" t="s">
        <v>11</v>
      </c>
      <c r="M144" s="8" t="s">
        <v>843</v>
      </c>
      <c r="N144" s="4" t="str">
        <f t="shared" si="5"/>
        <v>('1140','RPT_009', 'LabaTrialBalance3rdSegment', '1105020000 -  CKPN atas Piutang usaha - Pihak Ketiga', 'Aset', 'Aset Lancar', '141', '141', 'AND ma.main_account_id IN (1105020000)', 'A', 'Piutang usaha - Pihak Ketiga', 0, 0),</v>
      </c>
    </row>
    <row r="145" spans="1:14" ht="27" x14ac:dyDescent="0.3">
      <c r="A145" s="4">
        <v>1141</v>
      </c>
      <c r="B145" s="4" t="s">
        <v>177</v>
      </c>
      <c r="C145" s="4" t="s">
        <v>178</v>
      </c>
      <c r="D145" s="7" t="s">
        <v>314</v>
      </c>
      <c r="E145" s="4" t="s">
        <v>13</v>
      </c>
      <c r="F145" s="9" t="s">
        <v>10</v>
      </c>
      <c r="G145" s="4">
        <v>142</v>
      </c>
      <c r="H145" s="4">
        <v>142</v>
      </c>
      <c r="I145" s="4" t="s">
        <v>934</v>
      </c>
      <c r="J145" s="4" t="str">
        <f t="shared" si="4"/>
        <v>1105020001</v>
      </c>
      <c r="K145" s="1" t="s">
        <v>12</v>
      </c>
      <c r="L145" s="4" t="s">
        <v>11</v>
      </c>
      <c r="M145" s="8" t="s">
        <v>843</v>
      </c>
      <c r="N145" s="4" t="str">
        <f t="shared" si="5"/>
        <v>('1141','RPT_009', 'LabaTrialBalance3rdSegment', '1105020001 - CKPN atas Piutang usaha - Pihak Ketiga', 'Aset', 'Aset Lancar', '142', '142', 'AND ma.main_account_id IN (1105020001)', 'A', 'Piutang usaha - Pihak Ketiga', 0, 0),</v>
      </c>
    </row>
    <row r="146" spans="1:14" ht="26.4" x14ac:dyDescent="0.3">
      <c r="A146" s="4">
        <v>1142</v>
      </c>
      <c r="B146" s="4" t="s">
        <v>177</v>
      </c>
      <c r="C146" s="4" t="s">
        <v>178</v>
      </c>
      <c r="D146" s="5" t="s">
        <v>117</v>
      </c>
      <c r="E146" s="4" t="s">
        <v>13</v>
      </c>
      <c r="F146" s="9" t="s">
        <v>10</v>
      </c>
      <c r="G146" s="4">
        <v>143</v>
      </c>
      <c r="H146" s="4">
        <v>143</v>
      </c>
      <c r="I146" s="4" t="s">
        <v>934</v>
      </c>
      <c r="J146" s="4" t="str">
        <f t="shared" si="4"/>
        <v>1107000000</v>
      </c>
      <c r="K146" s="1" t="s">
        <v>12</v>
      </c>
      <c r="L146" s="4" t="s">
        <v>11</v>
      </c>
      <c r="M146" s="8" t="s">
        <v>858</v>
      </c>
      <c r="N146" s="4" t="str">
        <f t="shared" si="5"/>
        <v>('1142','RPT_009', 'LabaTrialBalance3rdSegment', '1107000000 -  Piutang lain-lain - pihak ketiga', 'Aset', 'Aset Lancar', '143', '143', 'AND ma.main_account_id IN (1107000000)', 'A', 'Piutang lain-lain - pihak ketiga', 0, 0),</v>
      </c>
    </row>
    <row r="147" spans="1:14" ht="27" x14ac:dyDescent="0.3">
      <c r="A147" s="4">
        <v>1143</v>
      </c>
      <c r="B147" s="4" t="s">
        <v>177</v>
      </c>
      <c r="C147" s="4" t="s">
        <v>178</v>
      </c>
      <c r="D147" s="6" t="s">
        <v>315</v>
      </c>
      <c r="E147" s="4" t="s">
        <v>13</v>
      </c>
      <c r="F147" s="9" t="s">
        <v>10</v>
      </c>
      <c r="G147" s="4">
        <v>144</v>
      </c>
      <c r="H147" s="4">
        <v>144</v>
      </c>
      <c r="I147" s="4" t="s">
        <v>934</v>
      </c>
      <c r="J147" s="4" t="str">
        <f t="shared" si="4"/>
        <v>1107010000</v>
      </c>
      <c r="K147" s="1" t="s">
        <v>12</v>
      </c>
      <c r="L147" s="4" t="s">
        <v>11</v>
      </c>
      <c r="M147" s="8" t="s">
        <v>858</v>
      </c>
      <c r="N147" s="4" t="str">
        <f t="shared" si="5"/>
        <v>('1143','RPT_009', 'LabaTrialBalance3rdSegment', '1107010000 -  Piutang lain-lain - pihak ketiga', 'Aset', 'Aset Lancar', '144', '144', 'AND ma.main_account_id IN (1107010000)', 'A', 'Piutang lain-lain - pihak ketiga', 0, 0),</v>
      </c>
    </row>
    <row r="148" spans="1:14" ht="27" x14ac:dyDescent="0.3">
      <c r="A148" s="4">
        <v>1144</v>
      </c>
      <c r="B148" s="4" t="s">
        <v>177</v>
      </c>
      <c r="C148" s="4" t="s">
        <v>178</v>
      </c>
      <c r="D148" s="7" t="s">
        <v>316</v>
      </c>
      <c r="E148" s="4" t="s">
        <v>13</v>
      </c>
      <c r="F148" s="9" t="s">
        <v>10</v>
      </c>
      <c r="G148" s="4">
        <v>145</v>
      </c>
      <c r="H148" s="4">
        <v>145</v>
      </c>
      <c r="I148" s="4" t="s">
        <v>934</v>
      </c>
      <c r="J148" s="4" t="str">
        <f t="shared" si="4"/>
        <v>1107010001</v>
      </c>
      <c r="K148" s="1" t="s">
        <v>12</v>
      </c>
      <c r="L148" s="4" t="s">
        <v>11</v>
      </c>
      <c r="M148" s="8" t="s">
        <v>858</v>
      </c>
      <c r="N148" s="4" t="str">
        <f t="shared" si="5"/>
        <v>('1144','RPT_009', 'LabaTrialBalance3rdSegment', '1107010001 - Piutang lain-lain - Nonusaha - IDR - Pihak ketiga', 'Aset', 'Aset Lancar', '145', '145', 'AND ma.main_account_id IN (1107010001)', 'A', 'Piutang lain-lain - pihak ketiga', 0, 0),</v>
      </c>
    </row>
    <row r="149" spans="1:14" ht="27" x14ac:dyDescent="0.3">
      <c r="A149" s="4">
        <v>1145</v>
      </c>
      <c r="B149" s="4" t="s">
        <v>177</v>
      </c>
      <c r="C149" s="4" t="s">
        <v>178</v>
      </c>
      <c r="D149" s="6" t="s">
        <v>317</v>
      </c>
      <c r="E149" s="4" t="s">
        <v>13</v>
      </c>
      <c r="F149" s="9" t="s">
        <v>10</v>
      </c>
      <c r="G149" s="4">
        <v>146</v>
      </c>
      <c r="H149" s="4">
        <v>146</v>
      </c>
      <c r="I149" s="4" t="s">
        <v>934</v>
      </c>
      <c r="J149" s="4" t="str">
        <f t="shared" si="4"/>
        <v>1107020000</v>
      </c>
      <c r="K149" s="1" t="s">
        <v>12</v>
      </c>
      <c r="L149" s="4" t="s">
        <v>11</v>
      </c>
      <c r="M149" s="8" t="s">
        <v>858</v>
      </c>
      <c r="N149" s="4" t="str">
        <f t="shared" si="5"/>
        <v>('1145','RPT_009', 'LabaTrialBalance3rdSegment', '1107020000 -  CKPN atas piutang lain-lain - Pihak Ketiga', 'Aset', 'Aset Lancar', '146', '146', 'AND ma.main_account_id IN (1107020000)', 'A', 'Piutang lain-lain - pihak ketiga', 0, 0),</v>
      </c>
    </row>
    <row r="150" spans="1:14" ht="27" x14ac:dyDescent="0.3">
      <c r="A150" s="4">
        <v>1146</v>
      </c>
      <c r="B150" s="4" t="s">
        <v>177</v>
      </c>
      <c r="C150" s="4" t="s">
        <v>178</v>
      </c>
      <c r="D150" s="7" t="s">
        <v>318</v>
      </c>
      <c r="E150" s="4" t="s">
        <v>13</v>
      </c>
      <c r="F150" s="9" t="s">
        <v>10</v>
      </c>
      <c r="G150" s="4">
        <v>147</v>
      </c>
      <c r="H150" s="4">
        <v>147</v>
      </c>
      <c r="I150" s="4" t="s">
        <v>934</v>
      </c>
      <c r="J150" s="4" t="str">
        <f t="shared" si="4"/>
        <v>1107020001</v>
      </c>
      <c r="K150" s="1" t="s">
        <v>12</v>
      </c>
      <c r="L150" s="4" t="s">
        <v>11</v>
      </c>
      <c r="M150" s="8" t="s">
        <v>858</v>
      </c>
      <c r="N150" s="4" t="str">
        <f t="shared" si="5"/>
        <v>('1146','RPT_009', 'LabaTrialBalance3rdSegment', '1107020001 - CKPN atas piutang lain-lain - Nonusaha - Pihak Ketiga', 'Aset', 'Aset Lancar', '147', '147', 'AND ma.main_account_id IN (1107020001)', 'A', 'Piutang lain-lain - pihak ketiga', 0, 0),</v>
      </c>
    </row>
    <row r="151" spans="1:14" ht="27" x14ac:dyDescent="0.3">
      <c r="A151" s="4">
        <v>1147</v>
      </c>
      <c r="B151" s="4" t="s">
        <v>177</v>
      </c>
      <c r="C151" s="4" t="s">
        <v>178</v>
      </c>
      <c r="D151" s="6" t="s">
        <v>319</v>
      </c>
      <c r="E151" s="4" t="s">
        <v>13</v>
      </c>
      <c r="F151" s="9" t="s">
        <v>10</v>
      </c>
      <c r="G151" s="4">
        <v>148</v>
      </c>
      <c r="H151" s="4">
        <v>148</v>
      </c>
      <c r="I151" s="4" t="s">
        <v>934</v>
      </c>
      <c r="J151" s="4" t="str">
        <f t="shared" si="4"/>
        <v>1107110000</v>
      </c>
      <c r="K151" s="1" t="s">
        <v>12</v>
      </c>
      <c r="L151" s="4" t="s">
        <v>11</v>
      </c>
      <c r="M151" s="8" t="s">
        <v>858</v>
      </c>
      <c r="N151" s="4" t="str">
        <f t="shared" si="5"/>
        <v>('1147','RPT_009', 'LabaTrialBalance3rdSegment', '1107110000 -  Piutang lain-lain - Piutang karyawan', 'Aset', 'Aset Lancar', '148', '148', 'AND ma.main_account_id IN (1107110000)', 'A', 'Piutang lain-lain - pihak ketiga', 0, 0),</v>
      </c>
    </row>
    <row r="152" spans="1:14" ht="27" x14ac:dyDescent="0.3">
      <c r="A152" s="4">
        <v>1148</v>
      </c>
      <c r="B152" s="4" t="s">
        <v>177</v>
      </c>
      <c r="C152" s="4" t="s">
        <v>178</v>
      </c>
      <c r="D152" s="7" t="s">
        <v>320</v>
      </c>
      <c r="E152" s="4" t="s">
        <v>13</v>
      </c>
      <c r="F152" s="9" t="s">
        <v>10</v>
      </c>
      <c r="G152" s="4">
        <v>149</v>
      </c>
      <c r="H152" s="4">
        <v>149</v>
      </c>
      <c r="I152" s="4" t="s">
        <v>934</v>
      </c>
      <c r="J152" s="4" t="str">
        <f t="shared" si="4"/>
        <v>1107110001</v>
      </c>
      <c r="K152" s="1" t="s">
        <v>12</v>
      </c>
      <c r="L152" s="4" t="s">
        <v>11</v>
      </c>
      <c r="M152" s="8" t="s">
        <v>858</v>
      </c>
      <c r="N152" s="4" t="str">
        <f t="shared" si="5"/>
        <v>('1148','RPT_009', 'LabaTrialBalance3rdSegment', '1107110001 - Piutang lain-lain - Piutang karyawan', 'Aset', 'Aset Lancar', '149', '149', 'AND ma.main_account_id IN (1107110001)', 'A', 'Piutang lain-lain - pihak ketiga', 0, 0),</v>
      </c>
    </row>
    <row r="153" spans="1:14" x14ac:dyDescent="0.3">
      <c r="A153" s="4">
        <v>1149</v>
      </c>
      <c r="B153" s="4" t="s">
        <v>177</v>
      </c>
      <c r="C153" s="4" t="s">
        <v>178</v>
      </c>
      <c r="D153" s="5" t="s">
        <v>118</v>
      </c>
      <c r="E153" s="4" t="s">
        <v>13</v>
      </c>
      <c r="F153" s="9" t="s">
        <v>10</v>
      </c>
      <c r="G153" s="4">
        <v>150</v>
      </c>
      <c r="H153" s="4">
        <v>150</v>
      </c>
      <c r="I153" s="4" t="s">
        <v>934</v>
      </c>
      <c r="J153" s="4" t="str">
        <f t="shared" si="4"/>
        <v>1108000000</v>
      </c>
      <c r="K153" s="1" t="s">
        <v>12</v>
      </c>
      <c r="L153" s="4" t="s">
        <v>11</v>
      </c>
      <c r="M153" s="8" t="s">
        <v>859</v>
      </c>
      <c r="N153" s="4" t="str">
        <f t="shared" si="5"/>
        <v>('1149','RPT_009', 'LabaTrialBalance3rdSegment', '1108000000 -  Persediaan - Pendapatan', 'Aset', 'Aset Lancar', '150', '150', 'AND ma.main_account_id IN (1108000000)', 'A', 'Persediaan - Pendapatan', 0, 0),</v>
      </c>
    </row>
    <row r="154" spans="1:14" ht="27" x14ac:dyDescent="0.3">
      <c r="A154" s="4">
        <v>1150</v>
      </c>
      <c r="B154" s="4" t="s">
        <v>177</v>
      </c>
      <c r="C154" s="4" t="s">
        <v>178</v>
      </c>
      <c r="D154" s="6" t="s">
        <v>321</v>
      </c>
      <c r="E154" s="4" t="s">
        <v>13</v>
      </c>
      <c r="F154" s="9" t="s">
        <v>10</v>
      </c>
      <c r="G154" s="4">
        <v>151</v>
      </c>
      <c r="H154" s="4">
        <v>151</v>
      </c>
      <c r="I154" s="4" t="s">
        <v>934</v>
      </c>
      <c r="J154" s="4" t="str">
        <f t="shared" si="4"/>
        <v>1108020000</v>
      </c>
      <c r="K154" s="1" t="s">
        <v>12</v>
      </c>
      <c r="L154" s="4" t="s">
        <v>11</v>
      </c>
      <c r="M154" s="8" t="s">
        <v>859</v>
      </c>
      <c r="N154" s="4" t="str">
        <f t="shared" si="5"/>
        <v>('1150','RPT_009', 'LabaTrialBalance3rdSegment', '1108020000 -  Persediaan - Pendapatan - Bahan Bakar (BBM dan pelumas)', 'Aset', 'Aset Lancar', '151', '151', 'AND ma.main_account_id IN (1108020000)', 'A', 'Persediaan - Pendapatan', 0, 0),</v>
      </c>
    </row>
    <row r="155" spans="1:14" ht="27" x14ac:dyDescent="0.3">
      <c r="A155" s="4">
        <v>1151</v>
      </c>
      <c r="B155" s="4" t="s">
        <v>177</v>
      </c>
      <c r="C155" s="4" t="s">
        <v>178</v>
      </c>
      <c r="D155" s="7" t="s">
        <v>322</v>
      </c>
      <c r="E155" s="4" t="s">
        <v>13</v>
      </c>
      <c r="F155" s="9" t="s">
        <v>10</v>
      </c>
      <c r="G155" s="4">
        <v>152</v>
      </c>
      <c r="H155" s="4">
        <v>152</v>
      </c>
      <c r="I155" s="4" t="s">
        <v>934</v>
      </c>
      <c r="J155" s="4" t="str">
        <f t="shared" si="4"/>
        <v>1108020001</v>
      </c>
      <c r="K155" s="1" t="s">
        <v>12</v>
      </c>
      <c r="L155" s="4" t="s">
        <v>11</v>
      </c>
      <c r="M155" s="8" t="s">
        <v>859</v>
      </c>
      <c r="N155" s="4" t="str">
        <f t="shared" si="5"/>
        <v>('1151','RPT_009', 'LabaTrialBalance3rdSegment', '1108020001 - Persediaan - Pendapatan - Bahan Bakar (BBM dan pelumas)', 'Aset', 'Aset Lancar', '152', '152', 'AND ma.main_account_id IN (1108020001)', 'A', 'Persediaan - Pendapatan', 0, 0),</v>
      </c>
    </row>
    <row r="156" spans="1:14" ht="27" x14ac:dyDescent="0.3">
      <c r="A156" s="4">
        <v>1152</v>
      </c>
      <c r="B156" s="4" t="s">
        <v>177</v>
      </c>
      <c r="C156" s="4" t="s">
        <v>178</v>
      </c>
      <c r="D156" s="6" t="s">
        <v>323</v>
      </c>
      <c r="E156" s="4" t="s">
        <v>13</v>
      </c>
      <c r="F156" s="9" t="s">
        <v>10</v>
      </c>
      <c r="G156" s="4">
        <v>153</v>
      </c>
      <c r="H156" s="4">
        <v>153</v>
      </c>
      <c r="I156" s="4" t="s">
        <v>934</v>
      </c>
      <c r="J156" s="4" t="str">
        <f t="shared" si="4"/>
        <v>1108050000</v>
      </c>
      <c r="K156" s="1" t="s">
        <v>12</v>
      </c>
      <c r="L156" s="4" t="s">
        <v>11</v>
      </c>
      <c r="M156" s="8" t="s">
        <v>859</v>
      </c>
      <c r="N156" s="4" t="str">
        <f t="shared" si="5"/>
        <v>('1152','RPT_009', 'LabaTrialBalance3rdSegment', '1108050000 -  Persediaan - Pendapatan - Persediaan Barang Penjualan F&amp;B', 'Aset', 'Aset Lancar', '153', '153', 'AND ma.main_account_id IN (1108050000)', 'A', 'Persediaan - Pendapatan', 0, 0),</v>
      </c>
    </row>
    <row r="157" spans="1:14" ht="27" x14ac:dyDescent="0.3">
      <c r="A157" s="4">
        <v>1153</v>
      </c>
      <c r="B157" s="4" t="s">
        <v>177</v>
      </c>
      <c r="C157" s="4" t="s">
        <v>178</v>
      </c>
      <c r="D157" s="7" t="s">
        <v>324</v>
      </c>
      <c r="E157" s="4" t="s">
        <v>13</v>
      </c>
      <c r="F157" s="9" t="s">
        <v>10</v>
      </c>
      <c r="G157" s="4">
        <v>154</v>
      </c>
      <c r="H157" s="4">
        <v>154</v>
      </c>
      <c r="I157" s="4" t="s">
        <v>934</v>
      </c>
      <c r="J157" s="4" t="str">
        <f t="shared" si="4"/>
        <v>1108050001</v>
      </c>
      <c r="K157" s="1" t="s">
        <v>12</v>
      </c>
      <c r="L157" s="4" t="s">
        <v>11</v>
      </c>
      <c r="M157" s="8" t="s">
        <v>859</v>
      </c>
      <c r="N157" s="4" t="str">
        <f t="shared" si="5"/>
        <v>('1153','RPT_009', 'LabaTrialBalance3rdSegment', '1108050001 - Persediaan - Pendapatan - Persediaan Barang Penjualan F&amp;B', 'Aset', 'Aset Lancar', '154', '154', 'AND ma.main_account_id IN (1108050001)', 'A', 'Persediaan - Pendapatan', 0, 0),</v>
      </c>
    </row>
    <row r="158" spans="1:14" ht="40.200000000000003" x14ac:dyDescent="0.3">
      <c r="A158" s="4">
        <v>1154</v>
      </c>
      <c r="B158" s="4" t="s">
        <v>177</v>
      </c>
      <c r="C158" s="4" t="s">
        <v>178</v>
      </c>
      <c r="D158" s="6" t="s">
        <v>325</v>
      </c>
      <c r="E158" s="4" t="s">
        <v>13</v>
      </c>
      <c r="F158" s="9" t="s">
        <v>10</v>
      </c>
      <c r="G158" s="4">
        <v>155</v>
      </c>
      <c r="H158" s="4">
        <v>155</v>
      </c>
      <c r="I158" s="4" t="s">
        <v>934</v>
      </c>
      <c r="J158" s="4" t="str">
        <f t="shared" si="4"/>
        <v>1108060000</v>
      </c>
      <c r="K158" s="1" t="s">
        <v>12</v>
      </c>
      <c r="L158" s="4" t="s">
        <v>11</v>
      </c>
      <c r="M158" s="8" t="s">
        <v>859</v>
      </c>
      <c r="N158" s="4" t="str">
        <f t="shared" si="5"/>
        <v>('1154','RPT_009', 'LabaTrialBalance3rdSegment', '1108060000 -  Persediaan - Pendapatan - Persediaan usaha real estate - Persediaan tanah', 'Aset', 'Aset Lancar', '155', '155', 'AND ma.main_account_id IN (1108060000)', 'A', 'Persediaan - Pendapatan', 0, 0),</v>
      </c>
    </row>
    <row r="159" spans="1:14" ht="40.200000000000003" x14ac:dyDescent="0.3">
      <c r="A159" s="4">
        <v>1155</v>
      </c>
      <c r="B159" s="4" t="s">
        <v>177</v>
      </c>
      <c r="C159" s="4" t="s">
        <v>178</v>
      </c>
      <c r="D159" s="7" t="s">
        <v>326</v>
      </c>
      <c r="E159" s="4" t="s">
        <v>13</v>
      </c>
      <c r="F159" s="9" t="s">
        <v>10</v>
      </c>
      <c r="G159" s="4">
        <v>156</v>
      </c>
      <c r="H159" s="4">
        <v>156</v>
      </c>
      <c r="I159" s="4" t="s">
        <v>934</v>
      </c>
      <c r="J159" s="4" t="str">
        <f t="shared" si="4"/>
        <v>1108060001</v>
      </c>
      <c r="K159" s="1" t="s">
        <v>12</v>
      </c>
      <c r="L159" s="4" t="s">
        <v>11</v>
      </c>
      <c r="M159" s="8" t="s">
        <v>859</v>
      </c>
      <c r="N159" s="4" t="str">
        <f t="shared" si="5"/>
        <v>('1155','RPT_009', 'LabaTrialBalance3rdSegment', '1108060001 - Persediaan - Pendapatan - Persediaan usaha real estate - Persediaan tanah', 'Aset', 'Aset Lancar', '156', '156', 'AND ma.main_account_id IN (1108060001)', 'A', 'Persediaan - Pendapatan', 0, 0),</v>
      </c>
    </row>
    <row r="160" spans="1:14" ht="31.2" x14ac:dyDescent="0.3">
      <c r="A160" s="4">
        <v>1156</v>
      </c>
      <c r="B160" s="4" t="s">
        <v>177</v>
      </c>
      <c r="C160" s="4" t="s">
        <v>178</v>
      </c>
      <c r="D160" s="5" t="s">
        <v>119</v>
      </c>
      <c r="E160" s="4" t="s">
        <v>13</v>
      </c>
      <c r="F160" s="9" t="s">
        <v>844</v>
      </c>
      <c r="G160" s="4">
        <v>157</v>
      </c>
      <c r="H160" s="4">
        <v>157</v>
      </c>
      <c r="I160" s="4" t="s">
        <v>934</v>
      </c>
      <c r="J160" s="4" t="str">
        <f t="shared" si="4"/>
        <v>1110000000</v>
      </c>
      <c r="K160" s="1" t="s">
        <v>12</v>
      </c>
      <c r="L160" s="4" t="s">
        <v>11</v>
      </c>
      <c r="M160" s="8" t="s">
        <v>844</v>
      </c>
      <c r="N160" s="4" t="str">
        <f t="shared" si="5"/>
        <v>('1156','RPT_009', 'LabaTrialBalance3rdSegment', '1110000000 -  Biaya dibayar dimuka dan uang muka', 'Aset', 'Biaya dibayar dimuka dan uang muka', '157', '157', 'AND ma.main_account_id IN (1110000000)', 'A', 'Biaya dibayar dimuka dan uang muka', 0, 0),</v>
      </c>
    </row>
    <row r="161" spans="1:14" ht="31.2" x14ac:dyDescent="0.3">
      <c r="A161" s="4">
        <v>1157</v>
      </c>
      <c r="B161" s="4" t="s">
        <v>177</v>
      </c>
      <c r="C161" s="4" t="s">
        <v>178</v>
      </c>
      <c r="D161" s="6" t="s">
        <v>327</v>
      </c>
      <c r="E161" s="4" t="s">
        <v>13</v>
      </c>
      <c r="F161" s="9" t="s">
        <v>844</v>
      </c>
      <c r="G161" s="4">
        <v>158</v>
      </c>
      <c r="H161" s="4">
        <v>158</v>
      </c>
      <c r="I161" s="4" t="s">
        <v>934</v>
      </c>
      <c r="J161" s="4" t="str">
        <f t="shared" si="4"/>
        <v>1110030000</v>
      </c>
      <c r="K161" s="1" t="s">
        <v>12</v>
      </c>
      <c r="L161" s="4" t="s">
        <v>11</v>
      </c>
      <c r="M161" s="8" t="s">
        <v>844</v>
      </c>
      <c r="N161" s="4" t="str">
        <f t="shared" si="5"/>
        <v>('1157','RPT_009', 'LabaTrialBalance3rdSegment', '1110030000 -  Uang muka unit kerja (operasional)', 'Aset', 'Biaya dibayar dimuka dan uang muka', '158', '158', 'AND ma.main_account_id IN (1110030000)', 'A', 'Biaya dibayar dimuka dan uang muka', 0, 0),</v>
      </c>
    </row>
    <row r="162" spans="1:14" ht="31.2" x14ac:dyDescent="0.3">
      <c r="A162" s="4">
        <v>1158</v>
      </c>
      <c r="B162" s="4" t="s">
        <v>177</v>
      </c>
      <c r="C162" s="4" t="s">
        <v>178</v>
      </c>
      <c r="D162" s="7" t="s">
        <v>328</v>
      </c>
      <c r="E162" s="4" t="s">
        <v>13</v>
      </c>
      <c r="F162" s="9" t="s">
        <v>844</v>
      </c>
      <c r="G162" s="4">
        <v>159</v>
      </c>
      <c r="H162" s="4">
        <v>159</v>
      </c>
      <c r="I162" s="4" t="s">
        <v>934</v>
      </c>
      <c r="J162" s="4" t="str">
        <f t="shared" si="4"/>
        <v>1110030001</v>
      </c>
      <c r="K162" s="1" t="s">
        <v>12</v>
      </c>
      <c r="L162" s="4" t="s">
        <v>11</v>
      </c>
      <c r="M162" s="8" t="s">
        <v>844</v>
      </c>
      <c r="N162" s="4" t="str">
        <f t="shared" si="5"/>
        <v>('1158','RPT_009', 'LabaTrialBalance3rdSegment', '1110030001 - Uang muka unit kerja (operasional)', 'Aset', 'Biaya dibayar dimuka dan uang muka', '159', '159', 'AND ma.main_account_id IN (1110030001)', 'A', 'Biaya dibayar dimuka dan uang muka', 0, 0),</v>
      </c>
    </row>
    <row r="163" spans="1:14" ht="31.2" x14ac:dyDescent="0.3">
      <c r="A163" s="4">
        <v>1159</v>
      </c>
      <c r="B163" s="4" t="s">
        <v>177</v>
      </c>
      <c r="C163" s="4" t="s">
        <v>178</v>
      </c>
      <c r="D163" s="6" t="s">
        <v>329</v>
      </c>
      <c r="E163" s="4" t="s">
        <v>13</v>
      </c>
      <c r="F163" s="9" t="s">
        <v>844</v>
      </c>
      <c r="G163" s="4">
        <v>160</v>
      </c>
      <c r="H163" s="4">
        <v>160</v>
      </c>
      <c r="I163" s="4" t="s">
        <v>934</v>
      </c>
      <c r="J163" s="4" t="str">
        <f t="shared" si="4"/>
        <v>1110290000</v>
      </c>
      <c r="K163" s="1" t="s">
        <v>12</v>
      </c>
      <c r="L163" s="4" t="s">
        <v>11</v>
      </c>
      <c r="M163" s="8" t="s">
        <v>844</v>
      </c>
      <c r="N163" s="4" t="str">
        <f t="shared" si="5"/>
        <v>('1159','RPT_009', 'LabaTrialBalance3rdSegment', '1110290000 -  Uang muka Lainnya', 'Aset', 'Biaya dibayar dimuka dan uang muka', '160', '160', 'AND ma.main_account_id IN (1110290000)', 'A', 'Biaya dibayar dimuka dan uang muka', 0, 0),</v>
      </c>
    </row>
    <row r="164" spans="1:14" ht="31.2" x14ac:dyDescent="0.3">
      <c r="A164" s="4">
        <v>1160</v>
      </c>
      <c r="B164" s="4" t="s">
        <v>177</v>
      </c>
      <c r="C164" s="4" t="s">
        <v>178</v>
      </c>
      <c r="D164" s="7" t="s">
        <v>330</v>
      </c>
      <c r="E164" s="4" t="s">
        <v>13</v>
      </c>
      <c r="F164" s="9" t="s">
        <v>844</v>
      </c>
      <c r="G164" s="4">
        <v>161</v>
      </c>
      <c r="H164" s="4">
        <v>161</v>
      </c>
      <c r="I164" s="4" t="s">
        <v>934</v>
      </c>
      <c r="J164" s="4" t="str">
        <f t="shared" si="4"/>
        <v>1110290006</v>
      </c>
      <c r="K164" s="1" t="s">
        <v>12</v>
      </c>
      <c r="L164" s="4" t="s">
        <v>11</v>
      </c>
      <c r="M164" s="8" t="s">
        <v>844</v>
      </c>
      <c r="N164" s="4" t="str">
        <f t="shared" si="5"/>
        <v>('1160','RPT_009', 'LabaTrialBalance3rdSegment', '1110290006 - Uang Muka Lainnya - Pegawai - Perjalanan Dinas', 'Aset', 'Biaya dibayar dimuka dan uang muka', '161', '161', 'AND ma.main_account_id IN (1110290006)', 'A', 'Biaya dibayar dimuka dan uang muka', 0, 0),</v>
      </c>
    </row>
    <row r="165" spans="1:14" ht="31.2" x14ac:dyDescent="0.3">
      <c r="A165" s="4">
        <v>1161</v>
      </c>
      <c r="B165" s="4" t="s">
        <v>177</v>
      </c>
      <c r="C165" s="4" t="s">
        <v>178</v>
      </c>
      <c r="D165" s="6" t="s">
        <v>331</v>
      </c>
      <c r="E165" s="4" t="s">
        <v>13</v>
      </c>
      <c r="F165" s="9" t="s">
        <v>844</v>
      </c>
      <c r="G165" s="4">
        <v>162</v>
      </c>
      <c r="H165" s="4">
        <v>162</v>
      </c>
      <c r="I165" s="4" t="s">
        <v>934</v>
      </c>
      <c r="J165" s="4" t="str">
        <f t="shared" si="4"/>
        <v>1110320000</v>
      </c>
      <c r="K165" s="1" t="s">
        <v>12</v>
      </c>
      <c r="L165" s="4" t="s">
        <v>11</v>
      </c>
      <c r="M165" s="8" t="s">
        <v>844</v>
      </c>
      <c r="N165" s="4" t="str">
        <f t="shared" si="5"/>
        <v>('1161','RPT_009', 'LabaTrialBalance3rdSegment', '1110320000 -  Biaya asuransi dibayar di muka - Asuransi Properti', 'Aset', 'Biaya dibayar dimuka dan uang muka', '162', '162', 'AND ma.main_account_id IN (1110320000)', 'A', 'Biaya dibayar dimuka dan uang muka', 0, 0),</v>
      </c>
    </row>
    <row r="166" spans="1:14" ht="31.2" x14ac:dyDescent="0.3">
      <c r="A166" s="4">
        <v>1162</v>
      </c>
      <c r="B166" s="4" t="s">
        <v>177</v>
      </c>
      <c r="C166" s="4" t="s">
        <v>178</v>
      </c>
      <c r="D166" s="7" t="s">
        <v>332</v>
      </c>
      <c r="E166" s="4" t="s">
        <v>13</v>
      </c>
      <c r="F166" s="9" t="s">
        <v>844</v>
      </c>
      <c r="G166" s="4">
        <v>163</v>
      </c>
      <c r="H166" s="4">
        <v>163</v>
      </c>
      <c r="I166" s="4" t="s">
        <v>934</v>
      </c>
      <c r="J166" s="4" t="str">
        <f t="shared" si="4"/>
        <v>1110320001</v>
      </c>
      <c r="K166" s="1" t="s">
        <v>12</v>
      </c>
      <c r="L166" s="4" t="s">
        <v>11</v>
      </c>
      <c r="M166" s="8" t="s">
        <v>844</v>
      </c>
      <c r="N166" s="4" t="str">
        <f t="shared" si="5"/>
        <v>('1162','RPT_009', 'LabaTrialBalance3rdSegment', '1110320001 - Biaya asuransi dibayar di muka - Asuransi Aset', 'Aset', 'Biaya dibayar dimuka dan uang muka', '163', '163', 'AND ma.main_account_id IN (1110320001)', 'A', 'Biaya dibayar dimuka dan uang muka', 0, 0),</v>
      </c>
    </row>
    <row r="167" spans="1:14" ht="31.2" x14ac:dyDescent="0.3">
      <c r="A167" s="4">
        <v>1163</v>
      </c>
      <c r="B167" s="4" t="s">
        <v>177</v>
      </c>
      <c r="C167" s="4" t="s">
        <v>178</v>
      </c>
      <c r="D167" s="6" t="s">
        <v>333</v>
      </c>
      <c r="E167" s="4" t="s">
        <v>13</v>
      </c>
      <c r="F167" s="9" t="s">
        <v>844</v>
      </c>
      <c r="G167" s="4">
        <v>164</v>
      </c>
      <c r="H167" s="4">
        <v>164</v>
      </c>
      <c r="I167" s="4" t="s">
        <v>934</v>
      </c>
      <c r="J167" s="4" t="str">
        <f t="shared" si="4"/>
        <v>1110510000</v>
      </c>
      <c r="K167" s="1" t="s">
        <v>12</v>
      </c>
      <c r="L167" s="4" t="s">
        <v>11</v>
      </c>
      <c r="M167" s="8" t="s">
        <v>844</v>
      </c>
      <c r="N167" s="4" t="str">
        <f t="shared" si="5"/>
        <v>('1163','RPT_009', 'LabaTrialBalance3rdSegment', '1110510000 -  Biaya sewa dibayar di muka', 'Aset', 'Biaya dibayar dimuka dan uang muka', '164', '164', 'AND ma.main_account_id IN (1110510000)', 'A', 'Biaya dibayar dimuka dan uang muka', 0, 0),</v>
      </c>
    </row>
    <row r="168" spans="1:14" ht="31.2" x14ac:dyDescent="0.3">
      <c r="A168" s="4">
        <v>1164</v>
      </c>
      <c r="B168" s="4" t="s">
        <v>177</v>
      </c>
      <c r="C168" s="4" t="s">
        <v>178</v>
      </c>
      <c r="D168" s="7" t="s">
        <v>334</v>
      </c>
      <c r="E168" s="4" t="s">
        <v>13</v>
      </c>
      <c r="F168" s="9" t="s">
        <v>844</v>
      </c>
      <c r="G168" s="4">
        <v>165</v>
      </c>
      <c r="H168" s="4">
        <v>165</v>
      </c>
      <c r="I168" s="4" t="s">
        <v>934</v>
      </c>
      <c r="J168" s="4" t="str">
        <f t="shared" si="4"/>
        <v>1110510002</v>
      </c>
      <c r="K168" s="1" t="s">
        <v>12</v>
      </c>
      <c r="L168" s="4" t="s">
        <v>11</v>
      </c>
      <c r="M168" s="8" t="s">
        <v>844</v>
      </c>
      <c r="N168" s="4" t="str">
        <f t="shared" si="5"/>
        <v>('1164','RPT_009', 'LabaTrialBalance3rdSegment', '1110510002 - Biaya sewa dibayar di muka - Sewa Bangunan', 'Aset', 'Biaya dibayar dimuka dan uang muka', '165', '165', 'AND ma.main_account_id IN (1110510002)', 'A', 'Biaya dibayar dimuka dan uang muka', 0, 0),</v>
      </c>
    </row>
    <row r="169" spans="1:14" ht="31.2" x14ac:dyDescent="0.3">
      <c r="A169" s="4">
        <v>1165</v>
      </c>
      <c r="B169" s="4" t="s">
        <v>177</v>
      </c>
      <c r="C169" s="4" t="s">
        <v>178</v>
      </c>
      <c r="D169" s="6" t="s">
        <v>335</v>
      </c>
      <c r="E169" s="4" t="s">
        <v>13</v>
      </c>
      <c r="F169" s="9" t="s">
        <v>844</v>
      </c>
      <c r="G169" s="4">
        <v>166</v>
      </c>
      <c r="H169" s="4">
        <v>166</v>
      </c>
      <c r="I169" s="4" t="s">
        <v>934</v>
      </c>
      <c r="J169" s="4" t="str">
        <f t="shared" si="4"/>
        <v>1110990000</v>
      </c>
      <c r="K169" s="1" t="s">
        <v>12</v>
      </c>
      <c r="L169" s="4" t="s">
        <v>11</v>
      </c>
      <c r="M169" s="8" t="s">
        <v>844</v>
      </c>
      <c r="N169" s="4" t="str">
        <f t="shared" si="5"/>
        <v>('1165','RPT_009', 'LabaTrialBalance3rdSegment', '1110990000 -  Biaya umum lainnya dibayar di muka', 'Aset', 'Biaya dibayar dimuka dan uang muka', '166', '166', 'AND ma.main_account_id IN (1110990000)', 'A', 'Biaya dibayar dimuka dan uang muka', 0, 0),</v>
      </c>
    </row>
    <row r="170" spans="1:14" ht="31.2" x14ac:dyDescent="0.3">
      <c r="A170" s="4">
        <v>1166</v>
      </c>
      <c r="B170" s="4" t="s">
        <v>177</v>
      </c>
      <c r="C170" s="4" t="s">
        <v>178</v>
      </c>
      <c r="D170" s="7" t="s">
        <v>336</v>
      </c>
      <c r="E170" s="4" t="s">
        <v>13</v>
      </c>
      <c r="F170" s="9" t="s">
        <v>844</v>
      </c>
      <c r="G170" s="4">
        <v>167</v>
      </c>
      <c r="H170" s="4">
        <v>167</v>
      </c>
      <c r="I170" s="4" t="s">
        <v>934</v>
      </c>
      <c r="J170" s="4" t="str">
        <f t="shared" si="4"/>
        <v>1110990003</v>
      </c>
      <c r="K170" s="1" t="s">
        <v>12</v>
      </c>
      <c r="L170" s="4" t="s">
        <v>11</v>
      </c>
      <c r="M170" s="8" t="s">
        <v>844</v>
      </c>
      <c r="N170" s="4" t="str">
        <f t="shared" si="5"/>
        <v>('1166','RPT_009', 'LabaTrialBalance3rdSegment', '1110990003 - Biaya umum lainnya dibayar di muka - Operasional Lainnya', 'Aset', 'Biaya dibayar dimuka dan uang muka', '167', '167', 'AND ma.main_account_id IN (1110990003)', 'A', 'Biaya dibayar dimuka dan uang muka', 0, 0),</v>
      </c>
    </row>
    <row r="171" spans="1:14" ht="31.2" x14ac:dyDescent="0.3">
      <c r="A171" s="4">
        <v>1167</v>
      </c>
      <c r="B171" s="4" t="s">
        <v>177</v>
      </c>
      <c r="C171" s="4" t="s">
        <v>178</v>
      </c>
      <c r="D171" s="5" t="s">
        <v>120</v>
      </c>
      <c r="E171" s="4" t="s">
        <v>13</v>
      </c>
      <c r="F171" s="9" t="s">
        <v>844</v>
      </c>
      <c r="G171" s="4">
        <v>168</v>
      </c>
      <c r="H171" s="4">
        <v>168</v>
      </c>
      <c r="I171" s="4" t="s">
        <v>934</v>
      </c>
      <c r="J171" s="4" t="str">
        <f t="shared" si="4"/>
        <v>1111000000</v>
      </c>
      <c r="K171" s="1" t="s">
        <v>12</v>
      </c>
      <c r="L171" s="4" t="s">
        <v>11</v>
      </c>
      <c r="M171" s="8" t="s">
        <v>860</v>
      </c>
      <c r="N171" s="4" t="str">
        <f t="shared" si="5"/>
        <v>('1167','RPT_009', 'LabaTrialBalance3rdSegment', '1111000000 -  Pendapatan yang Masih Harus Diterima', 'Aset', 'Biaya dibayar dimuka dan uang muka', '168', '168', 'AND ma.main_account_id IN (1111000000)', 'A', 'Pendapatan yang Masih Harus Diterima', 0, 0),</v>
      </c>
    </row>
    <row r="172" spans="1:14" ht="31.2" x14ac:dyDescent="0.3">
      <c r="A172" s="4">
        <v>1168</v>
      </c>
      <c r="B172" s="4" t="s">
        <v>177</v>
      </c>
      <c r="C172" s="4" t="s">
        <v>178</v>
      </c>
      <c r="D172" s="6" t="s">
        <v>337</v>
      </c>
      <c r="E172" s="4" t="s">
        <v>13</v>
      </c>
      <c r="F172" s="9" t="s">
        <v>844</v>
      </c>
      <c r="G172" s="4">
        <v>169</v>
      </c>
      <c r="H172" s="4">
        <v>169</v>
      </c>
      <c r="I172" s="4" t="s">
        <v>934</v>
      </c>
      <c r="J172" s="4" t="str">
        <f t="shared" si="4"/>
        <v>1111050000</v>
      </c>
      <c r="K172" s="1" t="s">
        <v>12</v>
      </c>
      <c r="L172" s="4" t="s">
        <v>11</v>
      </c>
      <c r="M172" s="8" t="s">
        <v>860</v>
      </c>
      <c r="N172" s="4" t="str">
        <f t="shared" si="5"/>
        <v>('1168','RPT_009', 'LabaTrialBalance3rdSegment', '1111050000 -  Pendapatan yang masih harus diterima - Pihak Ketiga', 'Aset', 'Biaya dibayar dimuka dan uang muka', '169', '169', 'AND ma.main_account_id IN (1111050000)', 'A', 'Pendapatan yang Masih Harus Diterima', 0, 0),</v>
      </c>
    </row>
    <row r="173" spans="1:14" ht="31.2" x14ac:dyDescent="0.3">
      <c r="A173" s="4">
        <v>1169</v>
      </c>
      <c r="B173" s="4" t="s">
        <v>177</v>
      </c>
      <c r="C173" s="4" t="s">
        <v>178</v>
      </c>
      <c r="D173" s="7" t="s">
        <v>338</v>
      </c>
      <c r="E173" s="4" t="s">
        <v>13</v>
      </c>
      <c r="F173" s="9" t="s">
        <v>844</v>
      </c>
      <c r="G173" s="4">
        <v>170</v>
      </c>
      <c r="H173" s="4">
        <v>170</v>
      </c>
      <c r="I173" s="4" t="s">
        <v>934</v>
      </c>
      <c r="J173" s="4" t="str">
        <f t="shared" si="4"/>
        <v>1111050007</v>
      </c>
      <c r="K173" s="1" t="s">
        <v>12</v>
      </c>
      <c r="L173" s="4" t="s">
        <v>11</v>
      </c>
      <c r="M173" s="8" t="s">
        <v>860</v>
      </c>
      <c r="N173" s="4" t="str">
        <f t="shared" si="5"/>
        <v>('1169','RPT_009', 'LabaTrialBalance3rdSegment', '1111050007 - PYMHD - Bunga - Pihak Ketiga', 'Aset', 'Biaya dibayar dimuka dan uang muka', '170', '170', 'AND ma.main_account_id IN (1111050007)', 'A', 'Pendapatan yang Masih Harus Diterima', 0, 0),</v>
      </c>
    </row>
    <row r="174" spans="1:14" x14ac:dyDescent="0.3">
      <c r="A174" s="4">
        <v>1170</v>
      </c>
      <c r="B174" s="4" t="s">
        <v>177</v>
      </c>
      <c r="C174" s="4" t="s">
        <v>178</v>
      </c>
      <c r="D174" s="5" t="s">
        <v>121</v>
      </c>
      <c r="E174" s="4" t="s">
        <v>13</v>
      </c>
      <c r="F174" s="9" t="s">
        <v>844</v>
      </c>
      <c r="G174" s="4">
        <v>171</v>
      </c>
      <c r="H174" s="4">
        <v>171</v>
      </c>
      <c r="I174" s="4" t="s">
        <v>934</v>
      </c>
      <c r="J174" s="4" t="str">
        <f t="shared" si="4"/>
        <v>1112000000</v>
      </c>
      <c r="K174" s="1" t="s">
        <v>12</v>
      </c>
      <c r="L174" s="4" t="s">
        <v>11</v>
      </c>
      <c r="M174" s="8" t="s">
        <v>861</v>
      </c>
      <c r="N174" s="4" t="str">
        <f t="shared" si="5"/>
        <v>('1170','RPT_009', 'LabaTrialBalance3rdSegment', '1112000000 -  Pajak dibayar dimuka', 'Aset', 'Biaya dibayar dimuka dan uang muka', '171', '171', 'AND ma.main_account_id IN (1112000000)', 'A', 'Pajak dibayar dimuka', 0, 0),</v>
      </c>
    </row>
    <row r="175" spans="1:14" x14ac:dyDescent="0.3">
      <c r="A175" s="4">
        <v>1171</v>
      </c>
      <c r="B175" s="4" t="s">
        <v>177</v>
      </c>
      <c r="C175" s="4" t="s">
        <v>178</v>
      </c>
      <c r="D175" s="6" t="s">
        <v>339</v>
      </c>
      <c r="E175" s="4" t="s">
        <v>13</v>
      </c>
      <c r="F175" s="9" t="s">
        <v>844</v>
      </c>
      <c r="G175" s="4">
        <v>172</v>
      </c>
      <c r="H175" s="4">
        <v>172</v>
      </c>
      <c r="I175" s="4" t="s">
        <v>934</v>
      </c>
      <c r="J175" s="4" t="str">
        <f t="shared" si="4"/>
        <v>1112010000</v>
      </c>
      <c r="K175" s="1" t="s">
        <v>12</v>
      </c>
      <c r="L175" s="4" t="s">
        <v>11</v>
      </c>
      <c r="M175" s="8" t="s">
        <v>861</v>
      </c>
      <c r="N175" s="4" t="str">
        <f t="shared" si="5"/>
        <v>('1171','RPT_009', 'LabaTrialBalance3rdSegment', '1112010000 -  Pajak Pemerintah Pusat', 'Aset', 'Biaya dibayar dimuka dan uang muka', '172', '172', 'AND ma.main_account_id IN (1112010000)', 'A', 'Pajak dibayar dimuka', 0, 0),</v>
      </c>
    </row>
    <row r="176" spans="1:14" ht="40.200000000000003" x14ac:dyDescent="0.3">
      <c r="A176" s="4">
        <v>1172</v>
      </c>
      <c r="B176" s="4" t="s">
        <v>177</v>
      </c>
      <c r="C176" s="4" t="s">
        <v>178</v>
      </c>
      <c r="D176" s="7" t="s">
        <v>340</v>
      </c>
      <c r="E176" s="4" t="s">
        <v>13</v>
      </c>
      <c r="F176" s="9" t="s">
        <v>844</v>
      </c>
      <c r="G176" s="4">
        <v>173</v>
      </c>
      <c r="H176" s="4">
        <v>173</v>
      </c>
      <c r="I176" s="4" t="s">
        <v>934</v>
      </c>
      <c r="J176" s="4" t="str">
        <f t="shared" si="4"/>
        <v>1112010002</v>
      </c>
      <c r="K176" s="1" t="s">
        <v>12</v>
      </c>
      <c r="L176" s="4" t="s">
        <v>11</v>
      </c>
      <c r="M176" s="8" t="s">
        <v>861</v>
      </c>
      <c r="N176" s="4" t="str">
        <f t="shared" si="5"/>
        <v>('1172','RPT_009', 'LabaTrialBalance3rdSegment', '1112010002 - Pajak dibayar di muka - Pajak Pemerintah Pusat - PPN Masukan - Non Wajib Pungut', 'Aset', 'Biaya dibayar dimuka dan uang muka', '173', '173', 'AND ma.main_account_id IN (1112010002)', 'A', 'Pajak dibayar dimuka', 0, 0),</v>
      </c>
    </row>
    <row r="177" spans="1:14" ht="40.200000000000003" x14ac:dyDescent="0.3">
      <c r="A177" s="4">
        <v>1173</v>
      </c>
      <c r="B177" s="4" t="s">
        <v>177</v>
      </c>
      <c r="C177" s="4" t="s">
        <v>178</v>
      </c>
      <c r="D177" s="7" t="s">
        <v>341</v>
      </c>
      <c r="E177" s="4" t="s">
        <v>13</v>
      </c>
      <c r="F177" s="9" t="s">
        <v>844</v>
      </c>
      <c r="G177" s="4">
        <v>174</v>
      </c>
      <c r="H177" s="4">
        <v>174</v>
      </c>
      <c r="I177" s="4" t="s">
        <v>934</v>
      </c>
      <c r="J177" s="4" t="str">
        <f t="shared" si="4"/>
        <v>1112010003</v>
      </c>
      <c r="K177" s="1" t="s">
        <v>12</v>
      </c>
      <c r="L177" s="4" t="s">
        <v>11</v>
      </c>
      <c r="M177" s="8" t="s">
        <v>861</v>
      </c>
      <c r="N177" s="4" t="str">
        <f t="shared" si="5"/>
        <v>('1173','RPT_009', 'LabaTrialBalance3rdSegment', '1112010003 - Pajak dibayar di muka - Pajak Pemerintah Pusat - PPN Masukan - Wajib Pungut', 'Aset', 'Biaya dibayar dimuka dan uang muka', '174', '174', 'AND ma.main_account_id IN (1112010003)', 'A', 'Pajak dibayar dimuka', 0, 0),</v>
      </c>
    </row>
    <row r="178" spans="1:14" ht="27" x14ac:dyDescent="0.3">
      <c r="A178" s="4">
        <v>1174</v>
      </c>
      <c r="B178" s="4" t="s">
        <v>177</v>
      </c>
      <c r="C178" s="4" t="s">
        <v>178</v>
      </c>
      <c r="D178" s="7" t="s">
        <v>342</v>
      </c>
      <c r="E178" s="4" t="s">
        <v>13</v>
      </c>
      <c r="F178" s="9" t="s">
        <v>844</v>
      </c>
      <c r="G178" s="4">
        <v>175</v>
      </c>
      <c r="H178" s="4">
        <v>175</v>
      </c>
      <c r="I178" s="4" t="s">
        <v>934</v>
      </c>
      <c r="J178" s="4" t="str">
        <f t="shared" si="4"/>
        <v>1112010004</v>
      </c>
      <c r="K178" s="1" t="s">
        <v>12</v>
      </c>
      <c r="L178" s="4" t="s">
        <v>11</v>
      </c>
      <c r="M178" s="8" t="s">
        <v>861</v>
      </c>
      <c r="N178" s="4" t="str">
        <f t="shared" si="5"/>
        <v>('1174','RPT_009', 'LabaTrialBalance3rdSegment', '1112010004 - Pajak dibayar di muka - Pajak Pemerintah Pusat - PPh 21', 'Aset', 'Biaya dibayar dimuka dan uang muka', '175', '175', 'AND ma.main_account_id IN (1112010004)', 'A', 'Pajak dibayar dimuka', 0, 0),</v>
      </c>
    </row>
    <row r="179" spans="1:14" ht="27" x14ac:dyDescent="0.3">
      <c r="A179" s="4">
        <v>1175</v>
      </c>
      <c r="B179" s="4" t="s">
        <v>177</v>
      </c>
      <c r="C179" s="4" t="s">
        <v>178</v>
      </c>
      <c r="D179" s="7" t="s">
        <v>343</v>
      </c>
      <c r="E179" s="4" t="s">
        <v>13</v>
      </c>
      <c r="F179" s="9" t="s">
        <v>844</v>
      </c>
      <c r="G179" s="4">
        <v>176</v>
      </c>
      <c r="H179" s="4">
        <v>176</v>
      </c>
      <c r="I179" s="4" t="s">
        <v>934</v>
      </c>
      <c r="J179" s="4" t="str">
        <f t="shared" si="4"/>
        <v>1112010005</v>
      </c>
      <c r="K179" s="1" t="s">
        <v>12</v>
      </c>
      <c r="L179" s="4" t="s">
        <v>11</v>
      </c>
      <c r="M179" s="8" t="s">
        <v>861</v>
      </c>
      <c r="N179" s="4" t="str">
        <f t="shared" si="5"/>
        <v>('1175','RPT_009', 'LabaTrialBalance3rdSegment', '1112010005 - Pajak dibayar di muka - Pajak Pemerintah Pusat - PPh 22', 'Aset', 'Biaya dibayar dimuka dan uang muka', '176', '176', 'AND ma.main_account_id IN (1112010005)', 'A', 'Pajak dibayar dimuka', 0, 0),</v>
      </c>
    </row>
    <row r="180" spans="1:14" ht="27" x14ac:dyDescent="0.3">
      <c r="A180" s="4">
        <v>1176</v>
      </c>
      <c r="B180" s="4" t="s">
        <v>177</v>
      </c>
      <c r="C180" s="4" t="s">
        <v>178</v>
      </c>
      <c r="D180" s="7" t="s">
        <v>344</v>
      </c>
      <c r="E180" s="4" t="s">
        <v>13</v>
      </c>
      <c r="F180" s="9" t="s">
        <v>844</v>
      </c>
      <c r="G180" s="4">
        <v>177</v>
      </c>
      <c r="H180" s="4">
        <v>177</v>
      </c>
      <c r="I180" s="4" t="s">
        <v>934</v>
      </c>
      <c r="J180" s="4" t="str">
        <f t="shared" si="4"/>
        <v>1112010006</v>
      </c>
      <c r="K180" s="1" t="s">
        <v>12</v>
      </c>
      <c r="L180" s="4" t="s">
        <v>11</v>
      </c>
      <c r="M180" s="8" t="s">
        <v>861</v>
      </c>
      <c r="N180" s="4" t="str">
        <f t="shared" si="5"/>
        <v>('1176','RPT_009', 'LabaTrialBalance3rdSegment', '1112010006 - Pajak dibayar di muka - Pajak Pemerintah Pusat - PPh 23', 'Aset', 'Biaya dibayar dimuka dan uang muka', '177', '177', 'AND ma.main_account_id IN (1112010006)', 'A', 'Pajak dibayar dimuka', 0, 0),</v>
      </c>
    </row>
    <row r="181" spans="1:14" ht="27" x14ac:dyDescent="0.3">
      <c r="A181" s="4">
        <v>1177</v>
      </c>
      <c r="B181" s="4" t="s">
        <v>177</v>
      </c>
      <c r="C181" s="4" t="s">
        <v>178</v>
      </c>
      <c r="D181" s="7" t="s">
        <v>345</v>
      </c>
      <c r="E181" s="4" t="s">
        <v>13</v>
      </c>
      <c r="F181" s="9" t="s">
        <v>844</v>
      </c>
      <c r="G181" s="4">
        <v>178</v>
      </c>
      <c r="H181" s="4">
        <v>178</v>
      </c>
      <c r="I181" s="4" t="s">
        <v>934</v>
      </c>
      <c r="J181" s="4" t="str">
        <f t="shared" si="4"/>
        <v>1112010007</v>
      </c>
      <c r="K181" s="1" t="s">
        <v>12</v>
      </c>
      <c r="L181" s="4" t="s">
        <v>11</v>
      </c>
      <c r="M181" s="8" t="s">
        <v>861</v>
      </c>
      <c r="N181" s="4" t="str">
        <f t="shared" si="5"/>
        <v>('1177','RPT_009', 'LabaTrialBalance3rdSegment', '1112010007 - Pajak dibayar di muka - Pajak Pemerintah Pusat - PPh 25', 'Aset', 'Biaya dibayar dimuka dan uang muka', '178', '178', 'AND ma.main_account_id IN (1112010007)', 'A', 'Pajak dibayar dimuka', 0, 0),</v>
      </c>
    </row>
    <row r="182" spans="1:14" ht="27" x14ac:dyDescent="0.3">
      <c r="A182" s="4">
        <v>1178</v>
      </c>
      <c r="B182" s="4" t="s">
        <v>177</v>
      </c>
      <c r="C182" s="4" t="s">
        <v>178</v>
      </c>
      <c r="D182" s="7" t="s">
        <v>346</v>
      </c>
      <c r="E182" s="4" t="s">
        <v>13</v>
      </c>
      <c r="F182" s="9" t="s">
        <v>844</v>
      </c>
      <c r="G182" s="4">
        <v>179</v>
      </c>
      <c r="H182" s="4">
        <v>179</v>
      </c>
      <c r="I182" s="4" t="s">
        <v>934</v>
      </c>
      <c r="J182" s="4" t="str">
        <f t="shared" si="4"/>
        <v>1112010008</v>
      </c>
      <c r="K182" s="1" t="s">
        <v>12</v>
      </c>
      <c r="L182" s="4" t="s">
        <v>11</v>
      </c>
      <c r="M182" s="8" t="s">
        <v>861</v>
      </c>
      <c r="N182" s="4" t="str">
        <f t="shared" si="5"/>
        <v>('1178','RPT_009', 'LabaTrialBalance3rdSegment', '1112010008 - Pajak dibayar di muka - Pajak Pemerintah Pusat - PPh 26', 'Aset', 'Biaya dibayar dimuka dan uang muka', '179', '179', 'AND ma.main_account_id IN (1112010008)', 'A', 'Pajak dibayar dimuka', 0, 0),</v>
      </c>
    </row>
    <row r="183" spans="1:14" x14ac:dyDescent="0.3">
      <c r="A183" s="4">
        <v>1179</v>
      </c>
      <c r="B183" s="4" t="s">
        <v>177</v>
      </c>
      <c r="C183" s="4" t="s">
        <v>178</v>
      </c>
      <c r="D183" s="6" t="s">
        <v>347</v>
      </c>
      <c r="E183" s="4" t="s">
        <v>13</v>
      </c>
      <c r="F183" s="9" t="s">
        <v>844</v>
      </c>
      <c r="G183" s="4">
        <v>180</v>
      </c>
      <c r="H183" s="4">
        <v>180</v>
      </c>
      <c r="I183" s="4" t="s">
        <v>934</v>
      </c>
      <c r="J183" s="4" t="str">
        <f t="shared" si="4"/>
        <v>1112020000</v>
      </c>
      <c r="K183" s="1" t="s">
        <v>12</v>
      </c>
      <c r="L183" s="4" t="s">
        <v>11</v>
      </c>
      <c r="M183" s="8" t="s">
        <v>861</v>
      </c>
      <c r="N183" s="4" t="str">
        <f t="shared" si="5"/>
        <v>('1179','RPT_009', 'LabaTrialBalance3rdSegment', '1112020000 -  Pajak Pemerintah Daerah', 'Aset', 'Biaya dibayar dimuka dan uang muka', '180', '180', 'AND ma.main_account_id IN (1112020000)', 'A', 'Pajak dibayar dimuka', 0, 0),</v>
      </c>
    </row>
    <row r="184" spans="1:14" ht="27" x14ac:dyDescent="0.3">
      <c r="A184" s="4">
        <v>1180</v>
      </c>
      <c r="B184" s="4" t="s">
        <v>177</v>
      </c>
      <c r="C184" s="4" t="s">
        <v>178</v>
      </c>
      <c r="D184" s="7" t="s">
        <v>348</v>
      </c>
      <c r="E184" s="4" t="s">
        <v>13</v>
      </c>
      <c r="F184" s="9" t="s">
        <v>844</v>
      </c>
      <c r="G184" s="4">
        <v>181</v>
      </c>
      <c r="H184" s="4">
        <v>181</v>
      </c>
      <c r="I184" s="4" t="s">
        <v>934</v>
      </c>
      <c r="J184" s="4" t="str">
        <f t="shared" si="4"/>
        <v>1112020001</v>
      </c>
      <c r="K184" s="1" t="s">
        <v>12</v>
      </c>
      <c r="L184" s="4" t="s">
        <v>11</v>
      </c>
      <c r="M184" s="8" t="s">
        <v>861</v>
      </c>
      <c r="N184" s="4" t="str">
        <f t="shared" si="5"/>
        <v>('1180','RPT_009', 'LabaTrialBalance3rdSegment', '1112020001 - Pajak dibayar di muka - Pajak Pemerintah Daerah - Lainnya', 'Aset', 'Biaya dibayar dimuka dan uang muka', '181', '181', 'AND ma.main_account_id IN (1112020001)', 'A', 'Pajak dibayar dimuka', 0, 0),</v>
      </c>
    </row>
    <row r="185" spans="1:14" ht="27" x14ac:dyDescent="0.3">
      <c r="A185" s="4">
        <v>1181</v>
      </c>
      <c r="B185" s="4" t="s">
        <v>177</v>
      </c>
      <c r="C185" s="4" t="s">
        <v>178</v>
      </c>
      <c r="D185" s="7" t="s">
        <v>349</v>
      </c>
      <c r="E185" s="4" t="s">
        <v>13</v>
      </c>
      <c r="F185" s="9" t="s">
        <v>844</v>
      </c>
      <c r="G185" s="4">
        <v>182</v>
      </c>
      <c r="H185" s="4">
        <v>182</v>
      </c>
      <c r="I185" s="4" t="s">
        <v>934</v>
      </c>
      <c r="J185" s="4" t="str">
        <f t="shared" si="4"/>
        <v>1112020002</v>
      </c>
      <c r="K185" s="1" t="s">
        <v>12</v>
      </c>
      <c r="L185" s="4" t="s">
        <v>11</v>
      </c>
      <c r="M185" s="8" t="s">
        <v>861</v>
      </c>
      <c r="N185" s="4" t="str">
        <f t="shared" si="5"/>
        <v>('1181','RPT_009', 'LabaTrialBalance3rdSegment', '1112020002 - Pajak dibayar di muka - Pajak Pemerintah Daerah - PBB', 'Aset', 'Biaya dibayar dimuka dan uang muka', '182', '182', 'AND ma.main_account_id IN (1112020002)', 'A', 'Pajak dibayar dimuka', 0, 0),</v>
      </c>
    </row>
    <row r="186" spans="1:14" x14ac:dyDescent="0.3">
      <c r="A186" s="4">
        <v>1182</v>
      </c>
      <c r="B186" s="4" t="s">
        <v>177</v>
      </c>
      <c r="C186" s="4" t="s">
        <v>178</v>
      </c>
      <c r="D186" s="3" t="s">
        <v>122</v>
      </c>
      <c r="E186" s="4" t="s">
        <v>14</v>
      </c>
      <c r="F186" s="9" t="s">
        <v>14</v>
      </c>
      <c r="G186" s="4">
        <v>183</v>
      </c>
      <c r="H186" s="4">
        <v>1</v>
      </c>
      <c r="I186" s="4" t="s">
        <v>934</v>
      </c>
      <c r="J186" s="4" t="str">
        <f t="shared" si="4"/>
        <v>1200000000</v>
      </c>
      <c r="K186" s="1" t="s">
        <v>12</v>
      </c>
      <c r="L186" s="4" t="s">
        <v>171</v>
      </c>
      <c r="M186" s="8" t="s">
        <v>14</v>
      </c>
      <c r="N186" s="4" t="str">
        <f t="shared" si="5"/>
        <v>('1182','RPT_009', 'LabaTrialBalance3rdSegment', '1200000000 - Aset Tidak Lancar', 'Aset Tidak Lancar', 'Aset Tidak Lancar', '183', '1', 'AND ma.main_account_id IN (1200000000)', 'B', 'Aset Tidak Lancar', 0, 0),</v>
      </c>
    </row>
    <row r="187" spans="1:14" ht="31.2" x14ac:dyDescent="0.3">
      <c r="A187" s="4">
        <v>1183</v>
      </c>
      <c r="B187" s="4" t="s">
        <v>177</v>
      </c>
      <c r="C187" s="4" t="s">
        <v>178</v>
      </c>
      <c r="D187" s="5" t="s">
        <v>123</v>
      </c>
      <c r="E187" s="4" t="s">
        <v>14</v>
      </c>
      <c r="F187" s="9" t="s">
        <v>841</v>
      </c>
      <c r="G187" s="4">
        <v>184</v>
      </c>
      <c r="H187" s="4">
        <v>2</v>
      </c>
      <c r="I187" s="4" t="s">
        <v>934</v>
      </c>
      <c r="J187" s="4" t="str">
        <f t="shared" si="4"/>
        <v>1201000000</v>
      </c>
      <c r="K187" s="1" t="s">
        <v>12</v>
      </c>
      <c r="L187" s="4" t="s">
        <v>171</v>
      </c>
      <c r="M187" s="8" t="s">
        <v>841</v>
      </c>
      <c r="N187" s="4" t="str">
        <f t="shared" si="5"/>
        <v>('1183','RPT_009', 'LabaTrialBalance3rdSegment', '1201000000 -  Kas dan setara kas yang dibatasi penggunaannya', 'Aset Tidak Lancar', 'Kas dan setara kas yang dibatasi penggunaannya', '184', '2', 'AND ma.main_account_id IN (1201000000)', 'B', 'Kas dan setara kas yang dibatasi penggunaannya', 0, 0),</v>
      </c>
    </row>
    <row r="188" spans="1:14" ht="31.2" x14ac:dyDescent="0.3">
      <c r="A188" s="4">
        <v>1184</v>
      </c>
      <c r="B188" s="4" t="s">
        <v>177</v>
      </c>
      <c r="C188" s="4" t="s">
        <v>178</v>
      </c>
      <c r="D188" s="6" t="s">
        <v>350</v>
      </c>
      <c r="E188" s="4" t="s">
        <v>14</v>
      </c>
      <c r="F188" s="9" t="s">
        <v>841</v>
      </c>
      <c r="G188" s="4">
        <v>185</v>
      </c>
      <c r="H188" s="4">
        <v>3</v>
      </c>
      <c r="I188" s="4" t="s">
        <v>934</v>
      </c>
      <c r="J188" s="4" t="str">
        <f t="shared" si="4"/>
        <v>1201010000</v>
      </c>
      <c r="K188" s="1" t="s">
        <v>12</v>
      </c>
      <c r="L188" s="4" t="s">
        <v>171</v>
      </c>
      <c r="M188" s="8" t="s">
        <v>841</v>
      </c>
      <c r="N188" s="4" t="str">
        <f t="shared" si="5"/>
        <v>('1184','RPT_009', 'LabaTrialBalance3rdSegment', '1201010000 -  Kas Dan Setara Kas Yang Dibatasi Penggunaannya - Pihak Berelasi', 'Aset Tidak Lancar', 'Kas dan setara kas yang dibatasi penggunaannya', '185', '3', 'AND ma.main_account_id IN (1201010000)', 'B', 'Kas dan setara kas yang dibatasi penggunaannya', 0, 0),</v>
      </c>
    </row>
    <row r="189" spans="1:14" ht="40.200000000000003" x14ac:dyDescent="0.3">
      <c r="A189" s="4">
        <v>1185</v>
      </c>
      <c r="B189" s="4" t="s">
        <v>177</v>
      </c>
      <c r="C189" s="4" t="s">
        <v>178</v>
      </c>
      <c r="D189" s="7" t="s">
        <v>351</v>
      </c>
      <c r="E189" s="4" t="s">
        <v>14</v>
      </c>
      <c r="F189" s="9" t="s">
        <v>841</v>
      </c>
      <c r="G189" s="4">
        <v>186</v>
      </c>
      <c r="H189" s="4">
        <v>4</v>
      </c>
      <c r="I189" s="4" t="s">
        <v>934</v>
      </c>
      <c r="J189" s="4" t="str">
        <f t="shared" si="4"/>
        <v>1201010002</v>
      </c>
      <c r="K189" s="1" t="s">
        <v>12</v>
      </c>
      <c r="L189" s="4" t="s">
        <v>171</v>
      </c>
      <c r="M189" s="8" t="s">
        <v>841</v>
      </c>
      <c r="N189" s="4" t="str">
        <f t="shared" si="5"/>
        <v>('1185','RPT_009', 'LabaTrialBalance3rdSegment', '1201010002 - Kas dan setara kas yang dibatasi penggunaannya - Pihak Berelasi', 'Aset Tidak Lancar', 'Kas dan setara kas yang dibatasi penggunaannya', '186', '4', 'AND ma.main_account_id IN (1201010002)', 'B', 'Kas dan setara kas yang dibatasi penggunaannya', 0, 0),</v>
      </c>
    </row>
    <row r="190" spans="1:14" ht="26.4" x14ac:dyDescent="0.3">
      <c r="A190" s="4">
        <v>1186</v>
      </c>
      <c r="B190" s="4" t="s">
        <v>177</v>
      </c>
      <c r="C190" s="4" t="s">
        <v>178</v>
      </c>
      <c r="D190" s="5" t="s">
        <v>124</v>
      </c>
      <c r="E190" s="4" t="s">
        <v>14</v>
      </c>
      <c r="F190" s="9" t="s">
        <v>845</v>
      </c>
      <c r="G190" s="4">
        <v>187</v>
      </c>
      <c r="H190" s="4">
        <v>5</v>
      </c>
      <c r="I190" s="4" t="s">
        <v>934</v>
      </c>
      <c r="J190" s="4" t="str">
        <f t="shared" si="4"/>
        <v>1205000000</v>
      </c>
      <c r="K190" s="1" t="s">
        <v>12</v>
      </c>
      <c r="L190" s="4" t="s">
        <v>171</v>
      </c>
      <c r="M190" s="8" t="s">
        <v>845</v>
      </c>
      <c r="N190" s="4" t="str">
        <f t="shared" si="5"/>
        <v>('1186','RPT_009', 'LabaTrialBalance3rdSegment', '1205000000 -  Piutang lain-lain - Pihak Ketiga', 'Aset Tidak Lancar', 'Piutang lain-lain - Pihak Ketiga', '187', '5', 'AND ma.main_account_id IN (1205000000)', 'B', 'Piutang lain-lain - Pihak Ketiga', 0, 0),</v>
      </c>
    </row>
    <row r="191" spans="1:14" ht="27" x14ac:dyDescent="0.3">
      <c r="A191" s="4">
        <v>1187</v>
      </c>
      <c r="B191" s="4" t="s">
        <v>177</v>
      </c>
      <c r="C191" s="4" t="s">
        <v>178</v>
      </c>
      <c r="D191" s="6" t="s">
        <v>352</v>
      </c>
      <c r="E191" s="4" t="s">
        <v>14</v>
      </c>
      <c r="F191" s="9" t="s">
        <v>845</v>
      </c>
      <c r="G191" s="4">
        <v>188</v>
      </c>
      <c r="H191" s="4">
        <v>6</v>
      </c>
      <c r="I191" s="4" t="s">
        <v>934</v>
      </c>
      <c r="J191" s="4" t="str">
        <f t="shared" si="4"/>
        <v>1205010000</v>
      </c>
      <c r="K191" s="1" t="s">
        <v>12</v>
      </c>
      <c r="L191" s="4" t="s">
        <v>171</v>
      </c>
      <c r="M191" s="8" t="s">
        <v>845</v>
      </c>
      <c r="N191" s="4" t="str">
        <f t="shared" si="5"/>
        <v>('1187','RPT_009', 'LabaTrialBalance3rdSegment', '1205010000 -  Piutang Lain-Lain - Pihak Ketiga', 'Aset Tidak Lancar', 'Piutang lain-lain - Pihak Ketiga', '188', '6', 'AND ma.main_account_id IN (1205010000)', 'B', 'Piutang lain-lain - Pihak Ketiga', 0, 0),</v>
      </c>
    </row>
    <row r="192" spans="1:14" ht="27" x14ac:dyDescent="0.3">
      <c r="A192" s="4">
        <v>1188</v>
      </c>
      <c r="B192" s="4" t="s">
        <v>177</v>
      </c>
      <c r="C192" s="4" t="s">
        <v>178</v>
      </c>
      <c r="D192" s="7" t="s">
        <v>353</v>
      </c>
      <c r="E192" s="4" t="s">
        <v>14</v>
      </c>
      <c r="F192" s="9" t="s">
        <v>845</v>
      </c>
      <c r="G192" s="4">
        <v>189</v>
      </c>
      <c r="H192" s="4">
        <v>7</v>
      </c>
      <c r="I192" s="4" t="s">
        <v>934</v>
      </c>
      <c r="J192" s="4" t="str">
        <f t="shared" si="4"/>
        <v>1205010001</v>
      </c>
      <c r="K192" s="1" t="s">
        <v>12</v>
      </c>
      <c r="L192" s="4" t="s">
        <v>171</v>
      </c>
      <c r="M192" s="8" t="s">
        <v>845</v>
      </c>
      <c r="N192" s="4" t="str">
        <f t="shared" si="5"/>
        <v>('1188','RPT_009', 'LabaTrialBalance3rdSegment', '1205010001 - Piutang Lain-Lain - Nonusaha - IDR - Pihak ketiga', 'Aset Tidak Lancar', 'Piutang lain-lain - Pihak Ketiga', '189', '7', 'AND ma.main_account_id IN (1205010001)', 'B', 'Piutang lain-lain - Pihak Ketiga', 0, 0),</v>
      </c>
    </row>
    <row r="193" spans="1:14" ht="27" x14ac:dyDescent="0.3">
      <c r="A193" s="4">
        <v>1189</v>
      </c>
      <c r="B193" s="4" t="s">
        <v>177</v>
      </c>
      <c r="C193" s="4" t="s">
        <v>178</v>
      </c>
      <c r="D193" s="6" t="s">
        <v>354</v>
      </c>
      <c r="E193" s="4" t="s">
        <v>14</v>
      </c>
      <c r="F193" s="9" t="s">
        <v>845</v>
      </c>
      <c r="G193" s="4">
        <v>190</v>
      </c>
      <c r="H193" s="4">
        <v>8</v>
      </c>
      <c r="I193" s="4" t="s">
        <v>934</v>
      </c>
      <c r="J193" s="4" t="str">
        <f t="shared" si="4"/>
        <v>1205020000</v>
      </c>
      <c r="K193" s="1" t="s">
        <v>12</v>
      </c>
      <c r="L193" s="4" t="s">
        <v>171</v>
      </c>
      <c r="M193" s="8" t="s">
        <v>845</v>
      </c>
      <c r="N193" s="4" t="str">
        <f t="shared" si="5"/>
        <v>('1189','RPT_009', 'LabaTrialBalance3rdSegment', '1205020000 -  CKPN atas piutang Lain-Lain - Pihak Ketiga', 'Aset Tidak Lancar', 'Piutang lain-lain - Pihak Ketiga', '190', '8', 'AND ma.main_account_id IN (1205020000)', 'B', 'Piutang lain-lain - Pihak Ketiga', 0, 0),</v>
      </c>
    </row>
    <row r="194" spans="1:14" ht="27" x14ac:dyDescent="0.3">
      <c r="A194" s="4">
        <v>1190</v>
      </c>
      <c r="B194" s="4" t="s">
        <v>177</v>
      </c>
      <c r="C194" s="4" t="s">
        <v>178</v>
      </c>
      <c r="D194" s="7" t="s">
        <v>355</v>
      </c>
      <c r="E194" s="4" t="s">
        <v>14</v>
      </c>
      <c r="F194" s="9" t="s">
        <v>845</v>
      </c>
      <c r="G194" s="4">
        <v>191</v>
      </c>
      <c r="H194" s="4">
        <v>9</v>
      </c>
      <c r="I194" s="4" t="s">
        <v>934</v>
      </c>
      <c r="J194" s="4" t="str">
        <f t="shared" si="4"/>
        <v>1205020001</v>
      </c>
      <c r="K194" s="1" t="s">
        <v>12</v>
      </c>
      <c r="L194" s="4" t="s">
        <v>171</v>
      </c>
      <c r="M194" s="8" t="s">
        <v>845</v>
      </c>
      <c r="N194" s="4" t="str">
        <f t="shared" si="5"/>
        <v>('1190','RPT_009', 'LabaTrialBalance3rdSegment', '1205020001 - CKPN atas Piutang lain-lain - Nonusaha - Pihak Ketiga', 'Aset Tidak Lancar', 'Piutang lain-lain - Pihak Ketiga', '191', '9', 'AND ma.main_account_id IN (1205020001)', 'B', 'Piutang lain-lain - Pihak Ketiga', 0, 0),</v>
      </c>
    </row>
    <row r="195" spans="1:14" x14ac:dyDescent="0.3">
      <c r="A195" s="4">
        <v>1191</v>
      </c>
      <c r="B195" s="4" t="s">
        <v>177</v>
      </c>
      <c r="C195" s="4" t="s">
        <v>178</v>
      </c>
      <c r="D195" s="5" t="s">
        <v>125</v>
      </c>
      <c r="E195" s="4" t="s">
        <v>14</v>
      </c>
      <c r="F195" s="9" t="s">
        <v>846</v>
      </c>
      <c r="G195" s="4">
        <v>192</v>
      </c>
      <c r="H195" s="4">
        <v>10</v>
      </c>
      <c r="I195" s="4" t="s">
        <v>934</v>
      </c>
      <c r="J195" s="4" t="str">
        <f t="shared" si="4"/>
        <v>1208000000</v>
      </c>
      <c r="K195" s="1" t="s">
        <v>12</v>
      </c>
      <c r="L195" s="4" t="s">
        <v>171</v>
      </c>
      <c r="M195" s="8" t="s">
        <v>846</v>
      </c>
      <c r="N195" s="4" t="str">
        <f t="shared" si="5"/>
        <v>('1191','RPT_009', 'LabaTrialBalance3rdSegment', '1208000000 -  Investasi jangka panjang', 'Aset Tidak Lancar', 'Investasi jangka panjang', '192', '10', 'AND ma.main_account_id IN (1208000000)', 'B', 'Investasi jangka panjang', 0, 0),</v>
      </c>
    </row>
    <row r="196" spans="1:14" ht="40.200000000000003" x14ac:dyDescent="0.3">
      <c r="A196" s="4">
        <v>1192</v>
      </c>
      <c r="B196" s="4" t="s">
        <v>177</v>
      </c>
      <c r="C196" s="4" t="s">
        <v>178</v>
      </c>
      <c r="D196" s="6" t="s">
        <v>356</v>
      </c>
      <c r="E196" s="4" t="s">
        <v>14</v>
      </c>
      <c r="F196" s="9" t="s">
        <v>846</v>
      </c>
      <c r="G196" s="4">
        <v>193</v>
      </c>
      <c r="H196" s="4">
        <v>11</v>
      </c>
      <c r="I196" s="4" t="s">
        <v>934</v>
      </c>
      <c r="J196" s="4" t="str">
        <f t="shared" ref="J196:J259" si="6">_xlfn.TEXTBEFORE(D196," -")</f>
        <v>1208020000</v>
      </c>
      <c r="K196" s="1" t="s">
        <v>12</v>
      </c>
      <c r="L196" s="4" t="s">
        <v>171</v>
      </c>
      <c r="M196" s="8" t="s">
        <v>846</v>
      </c>
      <c r="N196" s="4" t="str">
        <f t="shared" si="5"/>
        <v>('1192','RPT_009', 'LabaTrialBalance3rdSegment', '1208020000 -  Aset Keuangan Pada Nilai Wajar Melalui Penghasilan Komprehensif Lain - Pihak Ketiga', 'Aset Tidak Lancar', 'Investasi jangka panjang', '193', '11', 'AND ma.main_account_id IN (1208020000)', 'B', 'Investasi jangka panjang', 0, 0),</v>
      </c>
    </row>
    <row r="197" spans="1:14" ht="53.4" x14ac:dyDescent="0.3">
      <c r="A197" s="4">
        <v>1193</v>
      </c>
      <c r="B197" s="4" t="s">
        <v>177</v>
      </c>
      <c r="C197" s="4" t="s">
        <v>178</v>
      </c>
      <c r="D197" s="7" t="s">
        <v>357</v>
      </c>
      <c r="E197" s="4" t="s">
        <v>14</v>
      </c>
      <c r="F197" s="9" t="s">
        <v>846</v>
      </c>
      <c r="G197" s="4">
        <v>194</v>
      </c>
      <c r="H197" s="4">
        <v>12</v>
      </c>
      <c r="I197" s="4" t="s">
        <v>934</v>
      </c>
      <c r="J197" s="4" t="str">
        <f t="shared" si="6"/>
        <v>1208020002</v>
      </c>
      <c r="K197" s="1" t="s">
        <v>12</v>
      </c>
      <c r="L197" s="4" t="s">
        <v>171</v>
      </c>
      <c r="M197" s="8" t="s">
        <v>846</v>
      </c>
      <c r="N197" s="4" t="str">
        <f t="shared" ref="N197:N260" si="7">"('"&amp;A197&amp;"','"&amp;B197&amp;"', '"&amp;C197&amp;"', '"&amp;D197&amp;"', '"&amp;E197&amp;"', '"&amp;F197&amp;"', '"&amp;G197&amp;"', '"&amp;H197&amp;"', '"&amp;I197&amp;J197&amp;K197&amp;"', '"&amp;L197&amp;"', '"&amp;M197&amp;"', 0, 0),"</f>
        <v>('1193','RPT_009', 'LabaTrialBalance3rdSegment', '1208020002 - Aset Keuangan Pada Nilai Wajar Melalui Penghasilan Komprehensif Lain - Saham - Penyesuaian Nilai Wajar - Pihak Ketiga', 'Aset Tidak Lancar', 'Investasi jangka panjang', '194', '12', 'AND ma.main_account_id IN (1208020002)', 'B', 'Investasi jangka panjang', 0, 0),</v>
      </c>
    </row>
    <row r="198" spans="1:14" ht="40.200000000000003" x14ac:dyDescent="0.3">
      <c r="A198" s="4">
        <v>1194</v>
      </c>
      <c r="B198" s="4" t="s">
        <v>177</v>
      </c>
      <c r="C198" s="4" t="s">
        <v>178</v>
      </c>
      <c r="D198" s="6" t="s">
        <v>358</v>
      </c>
      <c r="E198" s="4" t="s">
        <v>14</v>
      </c>
      <c r="F198" s="9" t="s">
        <v>846</v>
      </c>
      <c r="G198" s="4">
        <v>195</v>
      </c>
      <c r="H198" s="4">
        <v>13</v>
      </c>
      <c r="I198" s="4" t="s">
        <v>934</v>
      </c>
      <c r="J198" s="4" t="str">
        <f t="shared" si="6"/>
        <v>1208070000</v>
      </c>
      <c r="K198" s="1" t="s">
        <v>12</v>
      </c>
      <c r="L198" s="4" t="s">
        <v>171</v>
      </c>
      <c r="M198" s="8" t="s">
        <v>846</v>
      </c>
      <c r="N198" s="4" t="str">
        <f t="shared" si="7"/>
        <v>('1194','RPT_009', 'LabaTrialBalance3rdSegment', '1208070000 -  Aset Keuangan Pada Biaya Perolehan Diamortisasi - Pihak Berelasi Lainnya', 'Aset Tidak Lancar', 'Investasi jangka panjang', '195', '13', 'AND ma.main_account_id IN (1208070000)', 'B', 'Investasi jangka panjang', 0, 0),</v>
      </c>
    </row>
    <row r="199" spans="1:14" ht="53.4" x14ac:dyDescent="0.3">
      <c r="A199" s="4">
        <v>1195</v>
      </c>
      <c r="B199" s="4" t="s">
        <v>177</v>
      </c>
      <c r="C199" s="4" t="s">
        <v>178</v>
      </c>
      <c r="D199" s="7" t="s">
        <v>359</v>
      </c>
      <c r="E199" s="4" t="s">
        <v>14</v>
      </c>
      <c r="F199" s="9" t="s">
        <v>846</v>
      </c>
      <c r="G199" s="4">
        <v>196</v>
      </c>
      <c r="H199" s="4">
        <v>14</v>
      </c>
      <c r="I199" s="4" t="s">
        <v>934</v>
      </c>
      <c r="J199" s="4" t="str">
        <f t="shared" si="6"/>
        <v>1208070003</v>
      </c>
      <c r="K199" s="1" t="s">
        <v>12</v>
      </c>
      <c r="L199" s="4" t="s">
        <v>171</v>
      </c>
      <c r="M199" s="8" t="s">
        <v>846</v>
      </c>
      <c r="N199" s="4" t="str">
        <f t="shared" si="7"/>
        <v>('1195','RPT_009', 'LabaTrialBalance3rdSegment', '1208070003 - Aset Keuangan Pada Biaya Perolehan Diamortisasi - Surat berharga Reksadana - IDR - Pihak Berelasi Lainnya', 'Aset Tidak Lancar', 'Investasi jangka panjang', '196', '14', 'AND ma.main_account_id IN (1208070003)', 'B', 'Investasi jangka panjang', 0, 0),</v>
      </c>
    </row>
    <row r="200" spans="1:14" x14ac:dyDescent="0.3">
      <c r="A200" s="4">
        <v>1196</v>
      </c>
      <c r="B200" s="4" t="s">
        <v>177</v>
      </c>
      <c r="C200" s="4" t="s">
        <v>178</v>
      </c>
      <c r="D200" s="5" t="s">
        <v>126</v>
      </c>
      <c r="E200" s="4" t="s">
        <v>14</v>
      </c>
      <c r="F200" s="9" t="s">
        <v>847</v>
      </c>
      <c r="G200" s="4">
        <v>197</v>
      </c>
      <c r="H200" s="4">
        <v>15</v>
      </c>
      <c r="I200" s="4" t="s">
        <v>934</v>
      </c>
      <c r="J200" s="4" t="str">
        <f t="shared" si="6"/>
        <v>1212000000</v>
      </c>
      <c r="K200" s="1" t="s">
        <v>12</v>
      </c>
      <c r="L200" s="4" t="s">
        <v>171</v>
      </c>
      <c r="M200" s="8" t="s">
        <v>847</v>
      </c>
      <c r="N200" s="4" t="str">
        <f t="shared" si="7"/>
        <v>('1196','RPT_009', 'LabaTrialBalance3rdSegment', '1212000000 -  Aset Pajak Tangguhan', 'Aset Tidak Lancar', 'Aset Pajak Tangguhan', '197', '15', 'AND ma.main_account_id IN (1212000000)', 'B', 'Aset Pajak Tangguhan', 0, 0),</v>
      </c>
    </row>
    <row r="201" spans="1:14" x14ac:dyDescent="0.3">
      <c r="A201" s="4">
        <v>1197</v>
      </c>
      <c r="B201" s="4" t="s">
        <v>177</v>
      </c>
      <c r="C201" s="4" t="s">
        <v>178</v>
      </c>
      <c r="D201" s="6" t="s">
        <v>360</v>
      </c>
      <c r="E201" s="4" t="s">
        <v>14</v>
      </c>
      <c r="F201" s="9" t="s">
        <v>847</v>
      </c>
      <c r="G201" s="4">
        <v>198</v>
      </c>
      <c r="H201" s="4">
        <v>16</v>
      </c>
      <c r="I201" s="4" t="s">
        <v>934</v>
      </c>
      <c r="J201" s="4" t="str">
        <f t="shared" si="6"/>
        <v>1212010000</v>
      </c>
      <c r="K201" s="1" t="s">
        <v>12</v>
      </c>
      <c r="L201" s="4" t="s">
        <v>171</v>
      </c>
      <c r="M201" s="8" t="s">
        <v>847</v>
      </c>
      <c r="N201" s="4" t="str">
        <f t="shared" si="7"/>
        <v>('1197','RPT_009', 'LabaTrialBalance3rdSegment', '1212010000 -  Aset Pajak Tangguhan', 'Aset Tidak Lancar', 'Aset Pajak Tangguhan', '198', '16', 'AND ma.main_account_id IN (1212010000)', 'B', 'Aset Pajak Tangguhan', 0, 0),</v>
      </c>
    </row>
    <row r="202" spans="1:14" x14ac:dyDescent="0.3">
      <c r="A202" s="4">
        <v>1198</v>
      </c>
      <c r="B202" s="4" t="s">
        <v>177</v>
      </c>
      <c r="C202" s="4" t="s">
        <v>178</v>
      </c>
      <c r="D202" s="7" t="s">
        <v>361</v>
      </c>
      <c r="E202" s="4" t="s">
        <v>14</v>
      </c>
      <c r="F202" s="9" t="s">
        <v>847</v>
      </c>
      <c r="G202" s="4">
        <v>199</v>
      </c>
      <c r="H202" s="4">
        <v>17</v>
      </c>
      <c r="I202" s="4" t="s">
        <v>934</v>
      </c>
      <c r="J202" s="4" t="str">
        <f t="shared" si="6"/>
        <v>1212010001</v>
      </c>
      <c r="K202" s="1" t="s">
        <v>12</v>
      </c>
      <c r="L202" s="4" t="s">
        <v>171</v>
      </c>
      <c r="M202" s="8" t="s">
        <v>847</v>
      </c>
      <c r="N202" s="4" t="str">
        <f t="shared" si="7"/>
        <v>('1198','RPT_009', 'LabaTrialBalance3rdSegment', '1212010001 - Aset Pajak Tangguhan', 'Aset Tidak Lancar', 'Aset Pajak Tangguhan', '199', '17', 'AND ma.main_account_id IN (1212010001)', 'B', 'Aset Pajak Tangguhan', 0, 0),</v>
      </c>
    </row>
    <row r="203" spans="1:14" x14ac:dyDescent="0.3">
      <c r="A203" s="4">
        <v>1199</v>
      </c>
      <c r="B203" s="4" t="s">
        <v>177</v>
      </c>
      <c r="C203" s="4" t="s">
        <v>178</v>
      </c>
      <c r="D203" s="5" t="s">
        <v>127</v>
      </c>
      <c r="E203" s="4" t="s">
        <v>14</v>
      </c>
      <c r="F203" s="9" t="s">
        <v>848</v>
      </c>
      <c r="G203" s="4">
        <v>200</v>
      </c>
      <c r="H203" s="4">
        <v>18</v>
      </c>
      <c r="I203" s="4" t="s">
        <v>934</v>
      </c>
      <c r="J203" s="4" t="str">
        <f t="shared" si="6"/>
        <v>1213000000</v>
      </c>
      <c r="K203" s="1" t="s">
        <v>12</v>
      </c>
      <c r="L203" s="4" t="s">
        <v>171</v>
      </c>
      <c r="M203" s="8" t="s">
        <v>848</v>
      </c>
      <c r="N203" s="4" t="str">
        <f t="shared" si="7"/>
        <v>('1199','RPT_009', 'LabaTrialBalance3rdSegment', '1213000000 -  Properti investasi', 'Aset Tidak Lancar', 'Properti investasi', '200', '18', 'AND ma.main_account_id IN (1213000000)', 'B', 'Properti investasi', 0, 0),</v>
      </c>
    </row>
    <row r="204" spans="1:14" x14ac:dyDescent="0.3">
      <c r="A204" s="4">
        <v>1200</v>
      </c>
      <c r="B204" s="4" t="s">
        <v>177</v>
      </c>
      <c r="C204" s="4" t="s">
        <v>178</v>
      </c>
      <c r="D204" s="6" t="s">
        <v>362</v>
      </c>
      <c r="E204" s="4" t="s">
        <v>14</v>
      </c>
      <c r="F204" s="9" t="s">
        <v>848</v>
      </c>
      <c r="G204" s="4">
        <v>201</v>
      </c>
      <c r="H204" s="4">
        <v>19</v>
      </c>
      <c r="I204" s="4" t="s">
        <v>934</v>
      </c>
      <c r="J204" s="4" t="str">
        <f t="shared" si="6"/>
        <v>1213010000</v>
      </c>
      <c r="K204" s="1" t="s">
        <v>12</v>
      </c>
      <c r="L204" s="4" t="s">
        <v>171</v>
      </c>
      <c r="M204" s="8" t="s">
        <v>848</v>
      </c>
      <c r="N204" s="4" t="str">
        <f t="shared" si="7"/>
        <v>('1200','RPT_009', 'LabaTrialBalance3rdSegment', '1213010000 -  Properti Investasi - Tanah', 'Aset Tidak Lancar', 'Properti investasi', '201', '19', 'AND ma.main_account_id IN (1213010000)', 'B', 'Properti investasi', 0, 0),</v>
      </c>
    </row>
    <row r="205" spans="1:14" x14ac:dyDescent="0.3">
      <c r="A205" s="4">
        <v>1201</v>
      </c>
      <c r="B205" s="4" t="s">
        <v>177</v>
      </c>
      <c r="C205" s="4" t="s">
        <v>178</v>
      </c>
      <c r="D205" s="7" t="s">
        <v>363</v>
      </c>
      <c r="E205" s="4" t="s">
        <v>14</v>
      </c>
      <c r="F205" s="9" t="s">
        <v>848</v>
      </c>
      <c r="G205" s="4">
        <v>202</v>
      </c>
      <c r="H205" s="4">
        <v>20</v>
      </c>
      <c r="I205" s="4" t="s">
        <v>934</v>
      </c>
      <c r="J205" s="4" t="str">
        <f t="shared" si="6"/>
        <v>1213010001</v>
      </c>
      <c r="K205" s="1" t="s">
        <v>12</v>
      </c>
      <c r="L205" s="4" t="s">
        <v>171</v>
      </c>
      <c r="M205" s="8" t="s">
        <v>848</v>
      </c>
      <c r="N205" s="4" t="str">
        <f t="shared" si="7"/>
        <v>('1201','RPT_009', 'LabaTrialBalance3rdSegment', '1213010001 - Properti investasi - Tanah', 'Aset Tidak Lancar', 'Properti investasi', '202', '20', 'AND ma.main_account_id IN (1213010001)', 'B', 'Properti investasi', 0, 0),</v>
      </c>
    </row>
    <row r="206" spans="1:14" x14ac:dyDescent="0.3">
      <c r="A206" s="4">
        <v>1202</v>
      </c>
      <c r="B206" s="4" t="s">
        <v>177</v>
      </c>
      <c r="C206" s="4" t="s">
        <v>178</v>
      </c>
      <c r="D206" s="5" t="s">
        <v>128</v>
      </c>
      <c r="E206" s="4" t="s">
        <v>14</v>
      </c>
      <c r="F206" s="9" t="s">
        <v>849</v>
      </c>
      <c r="G206" s="4">
        <v>203</v>
      </c>
      <c r="H206" s="4">
        <v>21</v>
      </c>
      <c r="I206" s="4" t="s">
        <v>934</v>
      </c>
      <c r="J206" s="4" t="str">
        <f t="shared" si="6"/>
        <v>1214000000</v>
      </c>
      <c r="K206" s="1" t="s">
        <v>12</v>
      </c>
      <c r="L206" s="4" t="s">
        <v>171</v>
      </c>
      <c r="M206" s="8" t="s">
        <v>849</v>
      </c>
      <c r="N206" s="4" t="str">
        <f t="shared" si="7"/>
        <v>('1202','RPT_009', 'LabaTrialBalance3rdSegment', '1214000000 -  Aset tetap', 'Aset Tidak Lancar', 'Aset tetap', '203', '21', 'AND ma.main_account_id IN (1214000000)', 'B', 'Aset tetap', 0, 0),</v>
      </c>
    </row>
    <row r="207" spans="1:14" x14ac:dyDescent="0.3">
      <c r="A207" s="4">
        <v>1203</v>
      </c>
      <c r="B207" s="4" t="s">
        <v>177</v>
      </c>
      <c r="C207" s="4" t="s">
        <v>178</v>
      </c>
      <c r="D207" s="6" t="s">
        <v>364</v>
      </c>
      <c r="E207" s="4" t="s">
        <v>14</v>
      </c>
      <c r="F207" s="9" t="s">
        <v>849</v>
      </c>
      <c r="G207" s="4">
        <v>204</v>
      </c>
      <c r="H207" s="4">
        <v>22</v>
      </c>
      <c r="I207" s="4" t="s">
        <v>934</v>
      </c>
      <c r="J207" s="4" t="str">
        <f t="shared" si="6"/>
        <v>1214010000</v>
      </c>
      <c r="K207" s="1" t="s">
        <v>12</v>
      </c>
      <c r="L207" s="4" t="s">
        <v>171</v>
      </c>
      <c r="M207" s="8" t="s">
        <v>849</v>
      </c>
      <c r="N207" s="4" t="str">
        <f t="shared" si="7"/>
        <v>('1203','RPT_009', 'LabaTrialBalance3rdSegment', '1214010000 -  Tanah', 'Aset Tidak Lancar', 'Aset tetap', '204', '22', 'AND ma.main_account_id IN (1214010000)', 'B', 'Aset tetap', 0, 0),</v>
      </c>
    </row>
    <row r="208" spans="1:14" x14ac:dyDescent="0.3">
      <c r="A208" s="4">
        <v>1204</v>
      </c>
      <c r="B208" s="4" t="s">
        <v>177</v>
      </c>
      <c r="C208" s="4" t="s">
        <v>178</v>
      </c>
      <c r="D208" s="7" t="s">
        <v>365</v>
      </c>
      <c r="E208" s="4" t="s">
        <v>14</v>
      </c>
      <c r="F208" s="9" t="s">
        <v>849</v>
      </c>
      <c r="G208" s="4">
        <v>205</v>
      </c>
      <c r="H208" s="4">
        <v>23</v>
      </c>
      <c r="I208" s="4" t="s">
        <v>934</v>
      </c>
      <c r="J208" s="4" t="str">
        <f t="shared" si="6"/>
        <v>1214010001</v>
      </c>
      <c r="K208" s="1" t="s">
        <v>12</v>
      </c>
      <c r="L208" s="4" t="s">
        <v>171</v>
      </c>
      <c r="M208" s="8" t="s">
        <v>849</v>
      </c>
      <c r="N208" s="4" t="str">
        <f t="shared" si="7"/>
        <v>('1204','RPT_009', 'LabaTrialBalance3rdSegment', '1214010001 - Tanah', 'Aset Tidak Lancar', 'Aset tetap', '205', '23', 'AND ma.main_account_id IN (1214010001)', 'B', 'Aset tetap', 0, 0),</v>
      </c>
    </row>
    <row r="209" spans="1:14" x14ac:dyDescent="0.3">
      <c r="A209" s="4">
        <v>1205</v>
      </c>
      <c r="B209" s="4" t="s">
        <v>177</v>
      </c>
      <c r="C209" s="4" t="s">
        <v>178</v>
      </c>
      <c r="D209" s="6" t="s">
        <v>366</v>
      </c>
      <c r="E209" s="4" t="s">
        <v>14</v>
      </c>
      <c r="F209" s="9" t="s">
        <v>849</v>
      </c>
      <c r="G209" s="4">
        <v>206</v>
      </c>
      <c r="H209" s="4">
        <v>24</v>
      </c>
      <c r="I209" s="4" t="s">
        <v>934</v>
      </c>
      <c r="J209" s="4" t="str">
        <f t="shared" si="6"/>
        <v>1214030000</v>
      </c>
      <c r="K209" s="1" t="s">
        <v>12</v>
      </c>
      <c r="L209" s="4" t="s">
        <v>171</v>
      </c>
      <c r="M209" s="8" t="s">
        <v>849</v>
      </c>
      <c r="N209" s="4" t="str">
        <f t="shared" si="7"/>
        <v>('1205','RPT_009', 'LabaTrialBalance3rdSegment', '1214030000 -  Bangunan Prasarana', 'Aset Tidak Lancar', 'Aset tetap', '206', '24', 'AND ma.main_account_id IN (1214030000)', 'B', 'Aset tetap', 0, 0),</v>
      </c>
    </row>
    <row r="210" spans="1:14" x14ac:dyDescent="0.3">
      <c r="A210" s="4">
        <v>1206</v>
      </c>
      <c r="B210" s="4" t="s">
        <v>177</v>
      </c>
      <c r="C210" s="4" t="s">
        <v>178</v>
      </c>
      <c r="D210" s="7" t="s">
        <v>367</v>
      </c>
      <c r="E210" s="4" t="s">
        <v>14</v>
      </c>
      <c r="F210" s="9" t="s">
        <v>849</v>
      </c>
      <c r="G210" s="4">
        <v>207</v>
      </c>
      <c r="H210" s="4">
        <v>25</v>
      </c>
      <c r="I210" s="4" t="s">
        <v>934</v>
      </c>
      <c r="J210" s="4" t="str">
        <f t="shared" si="6"/>
        <v>1214030001</v>
      </c>
      <c r="K210" s="1" t="s">
        <v>12</v>
      </c>
      <c r="L210" s="4" t="s">
        <v>171</v>
      </c>
      <c r="M210" s="8" t="s">
        <v>849</v>
      </c>
      <c r="N210" s="4" t="str">
        <f t="shared" si="7"/>
        <v>('1206','RPT_009', 'LabaTrialBalance3rdSegment', '1214030001 - Bangunan Prasarana', 'Aset Tidak Lancar', 'Aset tetap', '207', '25', 'AND ma.main_account_id IN (1214030001)', 'B', 'Aset tetap', 0, 0),</v>
      </c>
    </row>
    <row r="211" spans="1:14" x14ac:dyDescent="0.3">
      <c r="A211" s="4">
        <v>1207</v>
      </c>
      <c r="B211" s="4" t="s">
        <v>177</v>
      </c>
      <c r="C211" s="4" t="s">
        <v>178</v>
      </c>
      <c r="D211" s="6" t="s">
        <v>368</v>
      </c>
      <c r="E211" s="4" t="s">
        <v>14</v>
      </c>
      <c r="F211" s="9" t="s">
        <v>849</v>
      </c>
      <c r="G211" s="4">
        <v>208</v>
      </c>
      <c r="H211" s="4">
        <v>26</v>
      </c>
      <c r="I211" s="4" t="s">
        <v>934</v>
      </c>
      <c r="J211" s="4" t="str">
        <f t="shared" si="6"/>
        <v>1214040000</v>
      </c>
      <c r="K211" s="1" t="s">
        <v>12</v>
      </c>
      <c r="L211" s="4" t="s">
        <v>171</v>
      </c>
      <c r="M211" s="8" t="s">
        <v>849</v>
      </c>
      <c r="N211" s="4" t="str">
        <f t="shared" si="7"/>
        <v>('1207','RPT_009', 'LabaTrialBalance3rdSegment', '1214040000 -  Bangunan Gedung', 'Aset Tidak Lancar', 'Aset tetap', '208', '26', 'AND ma.main_account_id IN (1214040000)', 'B', 'Aset tetap', 0, 0),</v>
      </c>
    </row>
    <row r="212" spans="1:14" x14ac:dyDescent="0.3">
      <c r="A212" s="4">
        <v>1208</v>
      </c>
      <c r="B212" s="4" t="s">
        <v>177</v>
      </c>
      <c r="C212" s="4" t="s">
        <v>178</v>
      </c>
      <c r="D212" s="7" t="s">
        <v>369</v>
      </c>
      <c r="E212" s="4" t="s">
        <v>14</v>
      </c>
      <c r="F212" s="9" t="s">
        <v>849</v>
      </c>
      <c r="G212" s="4">
        <v>209</v>
      </c>
      <c r="H212" s="4">
        <v>27</v>
      </c>
      <c r="I212" s="4" t="s">
        <v>934</v>
      </c>
      <c r="J212" s="4" t="str">
        <f t="shared" si="6"/>
        <v>1214040001</v>
      </c>
      <c r="K212" s="1" t="s">
        <v>12</v>
      </c>
      <c r="L212" s="4" t="s">
        <v>171</v>
      </c>
      <c r="M212" s="8" t="s">
        <v>849</v>
      </c>
      <c r="N212" s="4" t="str">
        <f t="shared" si="7"/>
        <v>('1208','RPT_009', 'LabaTrialBalance3rdSegment', '1214040001 - Bangunan Gedung', 'Aset Tidak Lancar', 'Aset tetap', '209', '27', 'AND ma.main_account_id IN (1214040001)', 'B', 'Aset tetap', 0, 0),</v>
      </c>
    </row>
    <row r="213" spans="1:14" x14ac:dyDescent="0.3">
      <c r="A213" s="4">
        <v>1209</v>
      </c>
      <c r="B213" s="4" t="s">
        <v>177</v>
      </c>
      <c r="C213" s="4" t="s">
        <v>178</v>
      </c>
      <c r="D213" s="6" t="s">
        <v>370</v>
      </c>
      <c r="E213" s="4" t="s">
        <v>14</v>
      </c>
      <c r="F213" s="9" t="s">
        <v>849</v>
      </c>
      <c r="G213" s="4">
        <v>210</v>
      </c>
      <c r="H213" s="4">
        <v>28</v>
      </c>
      <c r="I213" s="4" t="s">
        <v>934</v>
      </c>
      <c r="J213" s="4" t="str">
        <f t="shared" si="6"/>
        <v>1214050000</v>
      </c>
      <c r="K213" s="1" t="s">
        <v>12</v>
      </c>
      <c r="L213" s="4" t="s">
        <v>171</v>
      </c>
      <c r="M213" s="8" t="s">
        <v>849</v>
      </c>
      <c r="N213" s="4" t="str">
        <f t="shared" si="7"/>
        <v>('1209','RPT_009', 'LabaTrialBalance3rdSegment', '1214050000 -  Kendaraan Bermotor', 'Aset Tidak Lancar', 'Aset tetap', '210', '28', 'AND ma.main_account_id IN (1214050000)', 'B', 'Aset tetap', 0, 0),</v>
      </c>
    </row>
    <row r="214" spans="1:14" x14ac:dyDescent="0.3">
      <c r="A214" s="4">
        <v>1210</v>
      </c>
      <c r="B214" s="4" t="s">
        <v>177</v>
      </c>
      <c r="C214" s="4" t="s">
        <v>178</v>
      </c>
      <c r="D214" s="7" t="s">
        <v>371</v>
      </c>
      <c r="E214" s="4" t="s">
        <v>14</v>
      </c>
      <c r="F214" s="9" t="s">
        <v>849</v>
      </c>
      <c r="G214" s="4">
        <v>211</v>
      </c>
      <c r="H214" s="4">
        <v>29</v>
      </c>
      <c r="I214" s="4" t="s">
        <v>934</v>
      </c>
      <c r="J214" s="4" t="str">
        <f t="shared" si="6"/>
        <v>1214050001</v>
      </c>
      <c r="K214" s="1" t="s">
        <v>12</v>
      </c>
      <c r="L214" s="4" t="s">
        <v>171</v>
      </c>
      <c r="M214" s="8" t="s">
        <v>849</v>
      </c>
      <c r="N214" s="4" t="str">
        <f t="shared" si="7"/>
        <v>('1210','RPT_009', 'LabaTrialBalance3rdSegment', '1214050001 - Kendaraan Bermotor', 'Aset Tidak Lancar', 'Aset tetap', '211', '29', 'AND ma.main_account_id IN (1214050001)', 'B', 'Aset tetap', 0, 0),</v>
      </c>
    </row>
    <row r="215" spans="1:14" x14ac:dyDescent="0.3">
      <c r="A215" s="4">
        <v>1211</v>
      </c>
      <c r="B215" s="4" t="s">
        <v>177</v>
      </c>
      <c r="C215" s="4" t="s">
        <v>178</v>
      </c>
      <c r="D215" s="6" t="s">
        <v>372</v>
      </c>
      <c r="E215" s="4" t="s">
        <v>14</v>
      </c>
      <c r="F215" s="9" t="s">
        <v>849</v>
      </c>
      <c r="G215" s="4">
        <v>212</v>
      </c>
      <c r="H215" s="4">
        <v>30</v>
      </c>
      <c r="I215" s="4" t="s">
        <v>934</v>
      </c>
      <c r="J215" s="4" t="str">
        <f t="shared" si="6"/>
        <v>1214070000</v>
      </c>
      <c r="K215" s="1" t="s">
        <v>12</v>
      </c>
      <c r="L215" s="4" t="s">
        <v>171</v>
      </c>
      <c r="M215" s="8" t="s">
        <v>849</v>
      </c>
      <c r="N215" s="4" t="str">
        <f t="shared" si="7"/>
        <v>('1211','RPT_009', 'LabaTrialBalance3rdSegment', '1214070000 -  Mesin Dan Peralatan', 'Aset Tidak Lancar', 'Aset tetap', '212', '30', 'AND ma.main_account_id IN (1214070000)', 'B', 'Aset tetap', 0, 0),</v>
      </c>
    </row>
    <row r="216" spans="1:14" x14ac:dyDescent="0.3">
      <c r="A216" s="4">
        <v>1212</v>
      </c>
      <c r="B216" s="4" t="s">
        <v>177</v>
      </c>
      <c r="C216" s="4" t="s">
        <v>178</v>
      </c>
      <c r="D216" s="7" t="s">
        <v>373</v>
      </c>
      <c r="E216" s="4" t="s">
        <v>14</v>
      </c>
      <c r="F216" s="9" t="s">
        <v>849</v>
      </c>
      <c r="G216" s="4">
        <v>213</v>
      </c>
      <c r="H216" s="4">
        <v>31</v>
      </c>
      <c r="I216" s="4" t="s">
        <v>934</v>
      </c>
      <c r="J216" s="4" t="str">
        <f t="shared" si="6"/>
        <v>1214070001</v>
      </c>
      <c r="K216" s="1" t="s">
        <v>12</v>
      </c>
      <c r="L216" s="4" t="s">
        <v>171</v>
      </c>
      <c r="M216" s="8" t="s">
        <v>849</v>
      </c>
      <c r="N216" s="4" t="str">
        <f t="shared" si="7"/>
        <v>('1212','RPT_009', 'LabaTrialBalance3rdSegment', '1214070001 - Mesin dan Peralatan', 'Aset Tidak Lancar', 'Aset tetap', '213', '31', 'AND ma.main_account_id IN (1214070001)', 'B', 'Aset tetap', 0, 0),</v>
      </c>
    </row>
    <row r="217" spans="1:14" ht="27" x14ac:dyDescent="0.3">
      <c r="A217" s="4">
        <v>1213</v>
      </c>
      <c r="B217" s="4" t="s">
        <v>177</v>
      </c>
      <c r="C217" s="4" t="s">
        <v>178</v>
      </c>
      <c r="D217" s="6" t="s">
        <v>374</v>
      </c>
      <c r="E217" s="4" t="s">
        <v>14</v>
      </c>
      <c r="F217" s="9" t="s">
        <v>849</v>
      </c>
      <c r="G217" s="4">
        <v>214</v>
      </c>
      <c r="H217" s="4">
        <v>32</v>
      </c>
      <c r="I217" s="4" t="s">
        <v>934</v>
      </c>
      <c r="J217" s="4" t="str">
        <f t="shared" si="6"/>
        <v>1214080000</v>
      </c>
      <c r="K217" s="1" t="s">
        <v>12</v>
      </c>
      <c r="L217" s="4" t="s">
        <v>171</v>
      </c>
      <c r="M217" s="8" t="s">
        <v>849</v>
      </c>
      <c r="N217" s="4" t="str">
        <f t="shared" si="7"/>
        <v>('1213','RPT_009', 'LabaTrialBalance3rdSegment', '1214080000 -  Perabotan Dan Perlengkapan', 'Aset Tidak Lancar', 'Aset tetap', '214', '32', 'AND ma.main_account_id IN (1214080000)', 'B', 'Aset tetap', 0, 0),</v>
      </c>
    </row>
    <row r="218" spans="1:14" ht="27" x14ac:dyDescent="0.3">
      <c r="A218" s="4">
        <v>1214</v>
      </c>
      <c r="B218" s="4" t="s">
        <v>177</v>
      </c>
      <c r="C218" s="4" t="s">
        <v>178</v>
      </c>
      <c r="D218" s="7" t="s">
        <v>375</v>
      </c>
      <c r="E218" s="4" t="s">
        <v>14</v>
      </c>
      <c r="F218" s="9" t="s">
        <v>849</v>
      </c>
      <c r="G218" s="4">
        <v>215</v>
      </c>
      <c r="H218" s="4">
        <v>33</v>
      </c>
      <c r="I218" s="4" t="s">
        <v>934</v>
      </c>
      <c r="J218" s="4" t="str">
        <f t="shared" si="6"/>
        <v>1214080001</v>
      </c>
      <c r="K218" s="1" t="s">
        <v>12</v>
      </c>
      <c r="L218" s="4" t="s">
        <v>171</v>
      </c>
      <c r="M218" s="8" t="s">
        <v>849</v>
      </c>
      <c r="N218" s="4" t="str">
        <f t="shared" si="7"/>
        <v>('1214','RPT_009', 'LabaTrialBalance3rdSegment', '1214080001 - Perabotan dan perlengkapan', 'Aset Tidak Lancar', 'Aset tetap', '215', '33', 'AND ma.main_account_id IN (1214080001)', 'B', 'Aset tetap', 0, 0),</v>
      </c>
    </row>
    <row r="219" spans="1:14" ht="27" x14ac:dyDescent="0.3">
      <c r="A219" s="4">
        <v>1215</v>
      </c>
      <c r="B219" s="4" t="s">
        <v>177</v>
      </c>
      <c r="C219" s="4" t="s">
        <v>178</v>
      </c>
      <c r="D219" s="6" t="s">
        <v>376</v>
      </c>
      <c r="E219" s="4" t="s">
        <v>14</v>
      </c>
      <c r="F219" s="9" t="s">
        <v>849</v>
      </c>
      <c r="G219" s="4">
        <v>216</v>
      </c>
      <c r="H219" s="4">
        <v>34</v>
      </c>
      <c r="I219" s="4" t="s">
        <v>934</v>
      </c>
      <c r="J219" s="4" t="str">
        <f t="shared" si="6"/>
        <v>1214190000</v>
      </c>
      <c r="K219" s="1" t="s">
        <v>12</v>
      </c>
      <c r="L219" s="4" t="s">
        <v>171</v>
      </c>
      <c r="M219" s="8" t="s">
        <v>849</v>
      </c>
      <c r="N219" s="4" t="str">
        <f t="shared" si="7"/>
        <v>('1215','RPT_009', 'LabaTrialBalance3rdSegment', '1214190000 -  Aset tetap dalam penyelesaian', 'Aset Tidak Lancar', 'Aset tetap', '216', '34', 'AND ma.main_account_id IN (1214190000)', 'B', 'Aset tetap', 0, 0),</v>
      </c>
    </row>
    <row r="220" spans="1:14" ht="27" x14ac:dyDescent="0.3">
      <c r="A220" s="4">
        <v>1216</v>
      </c>
      <c r="B220" s="4" t="s">
        <v>177</v>
      </c>
      <c r="C220" s="4" t="s">
        <v>178</v>
      </c>
      <c r="D220" s="7" t="s">
        <v>377</v>
      </c>
      <c r="E220" s="4" t="s">
        <v>14</v>
      </c>
      <c r="F220" s="9" t="s">
        <v>849</v>
      </c>
      <c r="G220" s="4">
        <v>217</v>
      </c>
      <c r="H220" s="4">
        <v>35</v>
      </c>
      <c r="I220" s="4" t="s">
        <v>934</v>
      </c>
      <c r="J220" s="4" t="str">
        <f t="shared" si="6"/>
        <v>1214190001</v>
      </c>
      <c r="K220" s="1" t="s">
        <v>12</v>
      </c>
      <c r="L220" s="4" t="s">
        <v>171</v>
      </c>
      <c r="M220" s="8" t="s">
        <v>849</v>
      </c>
      <c r="N220" s="4" t="str">
        <f t="shared" si="7"/>
        <v>('1216','RPT_009', 'LabaTrialBalance3rdSegment', '1214190001 - Aset tetap dalam penyelesaian', 'Aset Tidak Lancar', 'Aset tetap', '217', '35', 'AND ma.main_account_id IN (1214190001)', 'B', 'Aset tetap', 0, 0),</v>
      </c>
    </row>
    <row r="221" spans="1:14" ht="27" x14ac:dyDescent="0.3">
      <c r="A221" s="4">
        <v>1217</v>
      </c>
      <c r="B221" s="4" t="s">
        <v>177</v>
      </c>
      <c r="C221" s="4" t="s">
        <v>178</v>
      </c>
      <c r="D221" s="6" t="s">
        <v>378</v>
      </c>
      <c r="E221" s="4" t="s">
        <v>14</v>
      </c>
      <c r="F221" s="9" t="s">
        <v>849</v>
      </c>
      <c r="G221" s="4">
        <v>218</v>
      </c>
      <c r="H221" s="4">
        <v>36</v>
      </c>
      <c r="I221" s="4" t="s">
        <v>934</v>
      </c>
      <c r="J221" s="4" t="str">
        <f t="shared" si="6"/>
        <v>1214210000</v>
      </c>
      <c r="K221" s="1" t="s">
        <v>12</v>
      </c>
      <c r="L221" s="4" t="s">
        <v>171</v>
      </c>
      <c r="M221" s="8" t="s">
        <v>849</v>
      </c>
      <c r="N221" s="4" t="str">
        <f t="shared" si="7"/>
        <v>('1217','RPT_009', 'LabaTrialBalance3rdSegment', '1214210000 -  Akumulasi Depresiasi - Bangunan Prasarana', 'Aset Tidak Lancar', 'Aset tetap', '218', '36', 'AND ma.main_account_id IN (1214210000)', 'B', 'Aset tetap', 0, 0),</v>
      </c>
    </row>
    <row r="222" spans="1:14" ht="27" x14ac:dyDescent="0.3">
      <c r="A222" s="4">
        <v>1218</v>
      </c>
      <c r="B222" s="4" t="s">
        <v>177</v>
      </c>
      <c r="C222" s="4" t="s">
        <v>178</v>
      </c>
      <c r="D222" s="7" t="s">
        <v>379</v>
      </c>
      <c r="E222" s="4" t="s">
        <v>14</v>
      </c>
      <c r="F222" s="9" t="s">
        <v>849</v>
      </c>
      <c r="G222" s="4">
        <v>219</v>
      </c>
      <c r="H222" s="4">
        <v>37</v>
      </c>
      <c r="I222" s="4" t="s">
        <v>934</v>
      </c>
      <c r="J222" s="4" t="str">
        <f t="shared" si="6"/>
        <v>1214210001</v>
      </c>
      <c r="K222" s="1" t="s">
        <v>12</v>
      </c>
      <c r="L222" s="4" t="s">
        <v>171</v>
      </c>
      <c r="M222" s="8" t="s">
        <v>849</v>
      </c>
      <c r="N222" s="4" t="str">
        <f t="shared" si="7"/>
        <v>('1218','RPT_009', 'LabaTrialBalance3rdSegment', '1214210001 - Akumulasi Depresiasi - Bangunan Prasarana', 'Aset Tidak Lancar', 'Aset tetap', '219', '37', 'AND ma.main_account_id IN (1214210001)', 'B', 'Aset tetap', 0, 0),</v>
      </c>
    </row>
    <row r="223" spans="1:14" ht="27" x14ac:dyDescent="0.3">
      <c r="A223" s="4">
        <v>1219</v>
      </c>
      <c r="B223" s="4" t="s">
        <v>177</v>
      </c>
      <c r="C223" s="4" t="s">
        <v>178</v>
      </c>
      <c r="D223" s="6" t="s">
        <v>380</v>
      </c>
      <c r="E223" s="4" t="s">
        <v>14</v>
      </c>
      <c r="F223" s="9" t="s">
        <v>849</v>
      </c>
      <c r="G223" s="4">
        <v>220</v>
      </c>
      <c r="H223" s="4">
        <v>38</v>
      </c>
      <c r="I223" s="4" t="s">
        <v>934</v>
      </c>
      <c r="J223" s="4" t="str">
        <f t="shared" si="6"/>
        <v>1214220000</v>
      </c>
      <c r="K223" s="1" t="s">
        <v>12</v>
      </c>
      <c r="L223" s="4" t="s">
        <v>171</v>
      </c>
      <c r="M223" s="8" t="s">
        <v>849</v>
      </c>
      <c r="N223" s="4" t="str">
        <f t="shared" si="7"/>
        <v>('1219','RPT_009', 'LabaTrialBalance3rdSegment', '1214220000 -  Akumulasi Depresiasi - Bangunan Gedung', 'Aset Tidak Lancar', 'Aset tetap', '220', '38', 'AND ma.main_account_id IN (1214220000)', 'B', 'Aset tetap', 0, 0),</v>
      </c>
    </row>
    <row r="224" spans="1:14" ht="27" x14ac:dyDescent="0.3">
      <c r="A224" s="4">
        <v>1220</v>
      </c>
      <c r="B224" s="4" t="s">
        <v>177</v>
      </c>
      <c r="C224" s="4" t="s">
        <v>178</v>
      </c>
      <c r="D224" s="7" t="s">
        <v>381</v>
      </c>
      <c r="E224" s="4" t="s">
        <v>14</v>
      </c>
      <c r="F224" s="9" t="s">
        <v>849</v>
      </c>
      <c r="G224" s="4">
        <v>221</v>
      </c>
      <c r="H224" s="4">
        <v>39</v>
      </c>
      <c r="I224" s="4" t="s">
        <v>934</v>
      </c>
      <c r="J224" s="4" t="str">
        <f t="shared" si="6"/>
        <v>1214220001</v>
      </c>
      <c r="K224" s="1" t="s">
        <v>12</v>
      </c>
      <c r="L224" s="4" t="s">
        <v>171</v>
      </c>
      <c r="M224" s="8" t="s">
        <v>849</v>
      </c>
      <c r="N224" s="4" t="str">
        <f t="shared" si="7"/>
        <v>('1220','RPT_009', 'LabaTrialBalance3rdSegment', '1214220001 - Akumulasi Depresiasi - Bangunan Gedung', 'Aset Tidak Lancar', 'Aset tetap', '221', '39', 'AND ma.main_account_id IN (1214220001)', 'B', 'Aset tetap', 0, 0),</v>
      </c>
    </row>
    <row r="225" spans="1:14" ht="27" x14ac:dyDescent="0.3">
      <c r="A225" s="4">
        <v>1221</v>
      </c>
      <c r="B225" s="4" t="s">
        <v>177</v>
      </c>
      <c r="C225" s="4" t="s">
        <v>178</v>
      </c>
      <c r="D225" s="6" t="s">
        <v>382</v>
      </c>
      <c r="E225" s="4" t="s">
        <v>14</v>
      </c>
      <c r="F225" s="9" t="s">
        <v>849</v>
      </c>
      <c r="G225" s="4">
        <v>222</v>
      </c>
      <c r="H225" s="4">
        <v>40</v>
      </c>
      <c r="I225" s="4" t="s">
        <v>934</v>
      </c>
      <c r="J225" s="4" t="str">
        <f t="shared" si="6"/>
        <v>1214230000</v>
      </c>
      <c r="K225" s="1" t="s">
        <v>12</v>
      </c>
      <c r="L225" s="4" t="s">
        <v>171</v>
      </c>
      <c r="M225" s="8" t="s">
        <v>849</v>
      </c>
      <c r="N225" s="4" t="str">
        <f t="shared" si="7"/>
        <v>('1221','RPT_009', 'LabaTrialBalance3rdSegment', '1214230000 -  Akumulasi Depresiasi - Kendaraan Bermotor', 'Aset Tidak Lancar', 'Aset tetap', '222', '40', 'AND ma.main_account_id IN (1214230000)', 'B', 'Aset tetap', 0, 0),</v>
      </c>
    </row>
    <row r="226" spans="1:14" ht="27" x14ac:dyDescent="0.3">
      <c r="A226" s="4">
        <v>1222</v>
      </c>
      <c r="B226" s="4" t="s">
        <v>177</v>
      </c>
      <c r="C226" s="4" t="s">
        <v>178</v>
      </c>
      <c r="D226" s="7" t="s">
        <v>383</v>
      </c>
      <c r="E226" s="4" t="s">
        <v>14</v>
      </c>
      <c r="F226" s="9" t="s">
        <v>849</v>
      </c>
      <c r="G226" s="4">
        <v>223</v>
      </c>
      <c r="H226" s="4">
        <v>41</v>
      </c>
      <c r="I226" s="4" t="s">
        <v>934</v>
      </c>
      <c r="J226" s="4" t="str">
        <f t="shared" si="6"/>
        <v>1214230001</v>
      </c>
      <c r="K226" s="1" t="s">
        <v>12</v>
      </c>
      <c r="L226" s="4" t="s">
        <v>171</v>
      </c>
      <c r="M226" s="8" t="s">
        <v>849</v>
      </c>
      <c r="N226" s="4" t="str">
        <f t="shared" si="7"/>
        <v>('1222','RPT_009', 'LabaTrialBalance3rdSegment', '1214230001 - Akumulasi Depresiasi - Kendaraan Bermotor', 'Aset Tidak Lancar', 'Aset tetap', '223', '41', 'AND ma.main_account_id IN (1214230001)', 'B', 'Aset tetap', 0, 0),</v>
      </c>
    </row>
    <row r="227" spans="1:14" ht="27" x14ac:dyDescent="0.3">
      <c r="A227" s="4">
        <v>1223</v>
      </c>
      <c r="B227" s="4" t="s">
        <v>177</v>
      </c>
      <c r="C227" s="4" t="s">
        <v>178</v>
      </c>
      <c r="D227" s="6" t="s">
        <v>384</v>
      </c>
      <c r="E227" s="4" t="s">
        <v>14</v>
      </c>
      <c r="F227" s="9" t="s">
        <v>849</v>
      </c>
      <c r="G227" s="4">
        <v>224</v>
      </c>
      <c r="H227" s="4">
        <v>42</v>
      </c>
      <c r="I227" s="4" t="s">
        <v>934</v>
      </c>
      <c r="J227" s="4" t="str">
        <f t="shared" si="6"/>
        <v>1214250000</v>
      </c>
      <c r="K227" s="1" t="s">
        <v>12</v>
      </c>
      <c r="L227" s="4" t="s">
        <v>171</v>
      </c>
      <c r="M227" s="8" t="s">
        <v>849</v>
      </c>
      <c r="N227" s="4" t="str">
        <f t="shared" si="7"/>
        <v>('1223','RPT_009', 'LabaTrialBalance3rdSegment', '1214250000 -  Akumulasi Depresiasi - Mesin Dan Peralatan', 'Aset Tidak Lancar', 'Aset tetap', '224', '42', 'AND ma.main_account_id IN (1214250000)', 'B', 'Aset tetap', 0, 0),</v>
      </c>
    </row>
    <row r="228" spans="1:14" ht="27" x14ac:dyDescent="0.3">
      <c r="A228" s="4">
        <v>1224</v>
      </c>
      <c r="B228" s="4" t="s">
        <v>177</v>
      </c>
      <c r="C228" s="4" t="s">
        <v>178</v>
      </c>
      <c r="D228" s="7" t="s">
        <v>385</v>
      </c>
      <c r="E228" s="4" t="s">
        <v>14</v>
      </c>
      <c r="F228" s="9" t="s">
        <v>849</v>
      </c>
      <c r="G228" s="4">
        <v>225</v>
      </c>
      <c r="H228" s="4">
        <v>43</v>
      </c>
      <c r="I228" s="4" t="s">
        <v>934</v>
      </c>
      <c r="J228" s="4" t="str">
        <f t="shared" si="6"/>
        <v>1214250001</v>
      </c>
      <c r="K228" s="1" t="s">
        <v>12</v>
      </c>
      <c r="L228" s="4" t="s">
        <v>171</v>
      </c>
      <c r="M228" s="8" t="s">
        <v>849</v>
      </c>
      <c r="N228" s="4" t="str">
        <f t="shared" si="7"/>
        <v>('1224','RPT_009', 'LabaTrialBalance3rdSegment', '1214250001 - Akumulasi Depresiasi - Mesin dan Peralatan', 'Aset Tidak Lancar', 'Aset tetap', '225', '43', 'AND ma.main_account_id IN (1214250001)', 'B', 'Aset tetap', 0, 0),</v>
      </c>
    </row>
    <row r="229" spans="1:14" ht="27" x14ac:dyDescent="0.3">
      <c r="A229" s="4">
        <v>1225</v>
      </c>
      <c r="B229" s="4" t="s">
        <v>177</v>
      </c>
      <c r="C229" s="4" t="s">
        <v>178</v>
      </c>
      <c r="D229" s="6" t="s">
        <v>386</v>
      </c>
      <c r="E229" s="4" t="s">
        <v>14</v>
      </c>
      <c r="F229" s="9" t="s">
        <v>849</v>
      </c>
      <c r="G229" s="4">
        <v>226</v>
      </c>
      <c r="H229" s="4">
        <v>44</v>
      </c>
      <c r="I229" s="4" t="s">
        <v>934</v>
      </c>
      <c r="J229" s="4" t="str">
        <f t="shared" si="6"/>
        <v>1214260000</v>
      </c>
      <c r="K229" s="1" t="s">
        <v>12</v>
      </c>
      <c r="L229" s="4" t="s">
        <v>171</v>
      </c>
      <c r="M229" s="8" t="s">
        <v>849</v>
      </c>
      <c r="N229" s="4" t="str">
        <f t="shared" si="7"/>
        <v>('1225','RPT_009', 'LabaTrialBalance3rdSegment', '1214260000 -  Akumulasi Depresiasi - Perabotan Dan Perlengkapan', 'Aset Tidak Lancar', 'Aset tetap', '226', '44', 'AND ma.main_account_id IN (1214260000)', 'B', 'Aset tetap', 0, 0),</v>
      </c>
    </row>
    <row r="230" spans="1:14" ht="27" x14ac:dyDescent="0.3">
      <c r="A230" s="4">
        <v>1226</v>
      </c>
      <c r="B230" s="4" t="s">
        <v>177</v>
      </c>
      <c r="C230" s="4" t="s">
        <v>178</v>
      </c>
      <c r="D230" s="7" t="s">
        <v>387</v>
      </c>
      <c r="E230" s="4" t="s">
        <v>14</v>
      </c>
      <c r="F230" s="9" t="s">
        <v>849</v>
      </c>
      <c r="G230" s="4">
        <v>227</v>
      </c>
      <c r="H230" s="4">
        <v>45</v>
      </c>
      <c r="I230" s="4" t="s">
        <v>934</v>
      </c>
      <c r="J230" s="4" t="str">
        <f t="shared" si="6"/>
        <v>1214260001</v>
      </c>
      <c r="K230" s="1" t="s">
        <v>12</v>
      </c>
      <c r="L230" s="4" t="s">
        <v>171</v>
      </c>
      <c r="M230" s="8" t="s">
        <v>849</v>
      </c>
      <c r="N230" s="4" t="str">
        <f t="shared" si="7"/>
        <v>('1226','RPT_009', 'LabaTrialBalance3rdSegment', '1214260001 - Akumulasi depresiasi - Perabotan dan perlengkapan', 'Aset Tidak Lancar', 'Aset tetap', '227', '45', 'AND ma.main_account_id IN (1214260001)', 'B', 'Aset tetap', 0, 0),</v>
      </c>
    </row>
    <row r="231" spans="1:14" x14ac:dyDescent="0.3">
      <c r="A231" s="4">
        <v>1227</v>
      </c>
      <c r="B231" s="4" t="s">
        <v>177</v>
      </c>
      <c r="C231" s="4" t="s">
        <v>178</v>
      </c>
      <c r="D231" s="5" t="s">
        <v>129</v>
      </c>
      <c r="E231" s="4" t="s">
        <v>14</v>
      </c>
      <c r="F231" s="9" t="s">
        <v>850</v>
      </c>
      <c r="G231" s="4">
        <v>228</v>
      </c>
      <c r="H231" s="4">
        <v>46</v>
      </c>
      <c r="I231" s="4" t="s">
        <v>934</v>
      </c>
      <c r="J231" s="4" t="str">
        <f t="shared" si="6"/>
        <v>1215000000</v>
      </c>
      <c r="K231" s="1" t="s">
        <v>12</v>
      </c>
      <c r="L231" s="4" t="s">
        <v>171</v>
      </c>
      <c r="M231" s="8" t="s">
        <v>850</v>
      </c>
      <c r="N231" s="4" t="str">
        <f t="shared" si="7"/>
        <v>('1227','RPT_009', 'LabaTrialBalance3rdSegment', '1215000000 -  Aset hak guna', 'Aset Tidak Lancar', 'Aset hak guna', '228', '46', 'AND ma.main_account_id IN (1215000000)', 'B', 'Aset hak guna', 0, 0),</v>
      </c>
    </row>
    <row r="232" spans="1:14" ht="27" x14ac:dyDescent="0.3">
      <c r="A232" s="4">
        <v>1228</v>
      </c>
      <c r="B232" s="4" t="s">
        <v>177</v>
      </c>
      <c r="C232" s="4" t="s">
        <v>178</v>
      </c>
      <c r="D232" s="6" t="s">
        <v>388</v>
      </c>
      <c r="E232" s="4" t="s">
        <v>14</v>
      </c>
      <c r="F232" s="9" t="s">
        <v>850</v>
      </c>
      <c r="G232" s="4">
        <v>229</v>
      </c>
      <c r="H232" s="4">
        <v>47</v>
      </c>
      <c r="I232" s="4" t="s">
        <v>934</v>
      </c>
      <c r="J232" s="4" t="str">
        <f t="shared" si="6"/>
        <v>1215010000</v>
      </c>
      <c r="K232" s="1" t="s">
        <v>12</v>
      </c>
      <c r="L232" s="4" t="s">
        <v>171</v>
      </c>
      <c r="M232" s="8" t="s">
        <v>850</v>
      </c>
      <c r="N232" s="4" t="str">
        <f t="shared" si="7"/>
        <v>('1228','RPT_009', 'LabaTrialBalance3rdSegment', '1215010000 -  Aset Hak Guna - Tanah - Konsesi Lahan / HPL / HGB / HGU', 'Aset Tidak Lancar', 'Aset hak guna', '229', '47', 'AND ma.main_account_id IN (1215010000)', 'B', 'Aset hak guna', 0, 0),</v>
      </c>
    </row>
    <row r="233" spans="1:14" ht="27" x14ac:dyDescent="0.3">
      <c r="A233" s="4">
        <v>1229</v>
      </c>
      <c r="B233" s="4" t="s">
        <v>177</v>
      </c>
      <c r="C233" s="4" t="s">
        <v>178</v>
      </c>
      <c r="D233" s="7" t="s">
        <v>389</v>
      </c>
      <c r="E233" s="4" t="s">
        <v>14</v>
      </c>
      <c r="F233" s="9" t="s">
        <v>850</v>
      </c>
      <c r="G233" s="4">
        <v>230</v>
      </c>
      <c r="H233" s="4">
        <v>48</v>
      </c>
      <c r="I233" s="4" t="s">
        <v>934</v>
      </c>
      <c r="J233" s="4" t="str">
        <f t="shared" si="6"/>
        <v>1215010001</v>
      </c>
      <c r="K233" s="1" t="s">
        <v>12</v>
      </c>
      <c r="L233" s="4" t="s">
        <v>171</v>
      </c>
      <c r="M233" s="8" t="s">
        <v>850</v>
      </c>
      <c r="N233" s="4" t="str">
        <f t="shared" si="7"/>
        <v>('1229','RPT_009', 'LabaTrialBalance3rdSegment', '1215010001 - Aset hak guna - Tanah - Konsesi Lahan / HPL / HGB / HGU', 'Aset Tidak Lancar', 'Aset hak guna', '230', '48', 'AND ma.main_account_id IN (1215010001)', 'B', 'Aset hak guna', 0, 0),</v>
      </c>
    </row>
    <row r="234" spans="1:14" ht="27" x14ac:dyDescent="0.3">
      <c r="A234" s="4">
        <v>1230</v>
      </c>
      <c r="B234" s="4" t="s">
        <v>177</v>
      </c>
      <c r="C234" s="4" t="s">
        <v>178</v>
      </c>
      <c r="D234" s="6" t="s">
        <v>390</v>
      </c>
      <c r="E234" s="4" t="s">
        <v>14</v>
      </c>
      <c r="F234" s="9" t="s">
        <v>850</v>
      </c>
      <c r="G234" s="4">
        <v>231</v>
      </c>
      <c r="H234" s="4">
        <v>49</v>
      </c>
      <c r="I234" s="4" t="s">
        <v>934</v>
      </c>
      <c r="J234" s="4" t="str">
        <f t="shared" si="6"/>
        <v>1215040000</v>
      </c>
      <c r="K234" s="1" t="s">
        <v>12</v>
      </c>
      <c r="L234" s="4" t="s">
        <v>171</v>
      </c>
      <c r="M234" s="8" t="s">
        <v>850</v>
      </c>
      <c r="N234" s="4" t="str">
        <f t="shared" si="7"/>
        <v>('1230','RPT_009', 'LabaTrialBalance3rdSegment', '1215040000 -  Aset Hak Guna - Bangunan Gedung', 'Aset Tidak Lancar', 'Aset hak guna', '231', '49', 'AND ma.main_account_id IN (1215040000)', 'B', 'Aset hak guna', 0, 0),</v>
      </c>
    </row>
    <row r="235" spans="1:14" ht="27" x14ac:dyDescent="0.3">
      <c r="A235" s="4">
        <v>1231</v>
      </c>
      <c r="B235" s="4" t="s">
        <v>177</v>
      </c>
      <c r="C235" s="4" t="s">
        <v>178</v>
      </c>
      <c r="D235" s="7" t="s">
        <v>391</v>
      </c>
      <c r="E235" s="4" t="s">
        <v>14</v>
      </c>
      <c r="F235" s="9" t="s">
        <v>850</v>
      </c>
      <c r="G235" s="4">
        <v>232</v>
      </c>
      <c r="H235" s="4">
        <v>50</v>
      </c>
      <c r="I235" s="4" t="s">
        <v>934</v>
      </c>
      <c r="J235" s="4" t="str">
        <f t="shared" si="6"/>
        <v>1215040001</v>
      </c>
      <c r="K235" s="1" t="s">
        <v>12</v>
      </c>
      <c r="L235" s="4" t="s">
        <v>171</v>
      </c>
      <c r="M235" s="8" t="s">
        <v>850</v>
      </c>
      <c r="N235" s="4" t="str">
        <f t="shared" si="7"/>
        <v>('1231','RPT_009', 'LabaTrialBalance3rdSegment', '1215040001 - Aset hak guna - Bangunan gedung', 'Aset Tidak Lancar', 'Aset hak guna', '232', '50', 'AND ma.main_account_id IN (1215040001)', 'B', 'Aset hak guna', 0, 0),</v>
      </c>
    </row>
    <row r="236" spans="1:14" ht="40.200000000000003" x14ac:dyDescent="0.3">
      <c r="A236" s="4">
        <v>1232</v>
      </c>
      <c r="B236" s="4" t="s">
        <v>177</v>
      </c>
      <c r="C236" s="4" t="s">
        <v>178</v>
      </c>
      <c r="D236" s="6" t="s">
        <v>392</v>
      </c>
      <c r="E236" s="4" t="s">
        <v>14</v>
      </c>
      <c r="F236" s="9" t="s">
        <v>850</v>
      </c>
      <c r="G236" s="4">
        <v>233</v>
      </c>
      <c r="H236" s="4">
        <v>51</v>
      </c>
      <c r="I236" s="4" t="s">
        <v>934</v>
      </c>
      <c r="J236" s="4" t="str">
        <f t="shared" si="6"/>
        <v>1215200000</v>
      </c>
      <c r="K236" s="1" t="s">
        <v>12</v>
      </c>
      <c r="L236" s="4" t="s">
        <v>171</v>
      </c>
      <c r="M236" s="8" t="s">
        <v>850</v>
      </c>
      <c r="N236" s="4" t="str">
        <f t="shared" si="7"/>
        <v>('1232','RPT_009', 'LabaTrialBalance3rdSegment', '1215200000 -  Akumulasi Depresiasi - Aset Hak Guna - Tanah - Konsesi Lahan / HPL / HGB / HGU', 'Aset Tidak Lancar', 'Aset hak guna', '233', '51', 'AND ma.main_account_id IN (1215200000)', 'B', 'Aset hak guna', 0, 0),</v>
      </c>
    </row>
    <row r="237" spans="1:14" ht="40.200000000000003" x14ac:dyDescent="0.3">
      <c r="A237" s="4">
        <v>1233</v>
      </c>
      <c r="B237" s="4" t="s">
        <v>177</v>
      </c>
      <c r="C237" s="4" t="s">
        <v>178</v>
      </c>
      <c r="D237" s="7" t="s">
        <v>393</v>
      </c>
      <c r="E237" s="4" t="s">
        <v>14</v>
      </c>
      <c r="F237" s="9" t="s">
        <v>850</v>
      </c>
      <c r="G237" s="4">
        <v>234</v>
      </c>
      <c r="H237" s="4">
        <v>52</v>
      </c>
      <c r="I237" s="4" t="s">
        <v>934</v>
      </c>
      <c r="J237" s="4" t="str">
        <f t="shared" si="6"/>
        <v>1215200001</v>
      </c>
      <c r="K237" s="1" t="s">
        <v>12</v>
      </c>
      <c r="L237" s="4" t="s">
        <v>171</v>
      </c>
      <c r="M237" s="8" t="s">
        <v>850</v>
      </c>
      <c r="N237" s="4" t="str">
        <f t="shared" si="7"/>
        <v>('1233','RPT_009', 'LabaTrialBalance3rdSegment', '1215200001 - Akumulasi Depresiasi - Aset hak guna - Tanah - Konsesi Lahan / HPL / HGB / HGU', 'Aset Tidak Lancar', 'Aset hak guna', '234', '52', 'AND ma.main_account_id IN (1215200001)', 'B', 'Aset hak guna', 0, 0),</v>
      </c>
    </row>
    <row r="238" spans="1:14" ht="27" x14ac:dyDescent="0.3">
      <c r="A238" s="4">
        <v>1234</v>
      </c>
      <c r="B238" s="4" t="s">
        <v>177</v>
      </c>
      <c r="C238" s="4" t="s">
        <v>178</v>
      </c>
      <c r="D238" s="6" t="s">
        <v>394</v>
      </c>
      <c r="E238" s="4" t="s">
        <v>14</v>
      </c>
      <c r="F238" s="9" t="s">
        <v>850</v>
      </c>
      <c r="G238" s="4">
        <v>235</v>
      </c>
      <c r="H238" s="4">
        <v>53</v>
      </c>
      <c r="I238" s="4" t="s">
        <v>934</v>
      </c>
      <c r="J238" s="4" t="str">
        <f t="shared" si="6"/>
        <v>1215230000</v>
      </c>
      <c r="K238" s="1" t="s">
        <v>12</v>
      </c>
      <c r="L238" s="4" t="s">
        <v>171</v>
      </c>
      <c r="M238" s="8" t="s">
        <v>850</v>
      </c>
      <c r="N238" s="4" t="str">
        <f t="shared" si="7"/>
        <v>('1234','RPT_009', 'LabaTrialBalance3rdSegment', '1215230000 -  Akumulasi Depresiasi - Aset Hak Guna - Bangunan Gedung', 'Aset Tidak Lancar', 'Aset hak guna', '235', '53', 'AND ma.main_account_id IN (1215230000)', 'B', 'Aset hak guna', 0, 0),</v>
      </c>
    </row>
    <row r="239" spans="1:14" ht="27" x14ac:dyDescent="0.3">
      <c r="A239" s="4">
        <v>1235</v>
      </c>
      <c r="B239" s="4" t="s">
        <v>177</v>
      </c>
      <c r="C239" s="4" t="s">
        <v>178</v>
      </c>
      <c r="D239" s="7" t="s">
        <v>395</v>
      </c>
      <c r="E239" s="4" t="s">
        <v>14</v>
      </c>
      <c r="F239" s="9" t="s">
        <v>850</v>
      </c>
      <c r="G239" s="4">
        <v>236</v>
      </c>
      <c r="H239" s="4">
        <v>54</v>
      </c>
      <c r="I239" s="4" t="s">
        <v>934</v>
      </c>
      <c r="J239" s="4" t="str">
        <f t="shared" si="6"/>
        <v>1215230001</v>
      </c>
      <c r="K239" s="1" t="s">
        <v>12</v>
      </c>
      <c r="L239" s="4" t="s">
        <v>171</v>
      </c>
      <c r="M239" s="8" t="s">
        <v>850</v>
      </c>
      <c r="N239" s="4" t="str">
        <f t="shared" si="7"/>
        <v>('1235','RPT_009', 'LabaTrialBalance3rdSegment', '1215230001 - Akumulasi depresiasi - Aset hak guna - Bangunan gedung', 'Aset Tidak Lancar', 'Aset hak guna', '236', '54', 'AND ma.main_account_id IN (1215230001)', 'B', 'Aset hak guna', 0, 0),</v>
      </c>
    </row>
    <row r="240" spans="1:14" x14ac:dyDescent="0.3">
      <c r="A240" s="4">
        <v>1236</v>
      </c>
      <c r="B240" s="4" t="s">
        <v>177</v>
      </c>
      <c r="C240" s="4" t="s">
        <v>178</v>
      </c>
      <c r="D240" s="5" t="s">
        <v>130</v>
      </c>
      <c r="E240" s="4" t="s">
        <v>14</v>
      </c>
      <c r="F240" s="9" t="s">
        <v>851</v>
      </c>
      <c r="G240" s="4">
        <v>237</v>
      </c>
      <c r="H240" s="4">
        <v>55</v>
      </c>
      <c r="I240" s="4" t="s">
        <v>934</v>
      </c>
      <c r="J240" s="4" t="str">
        <f t="shared" si="6"/>
        <v>1216000000</v>
      </c>
      <c r="K240" s="1" t="s">
        <v>12</v>
      </c>
      <c r="L240" s="4" t="s">
        <v>171</v>
      </c>
      <c r="M240" s="8" t="s">
        <v>851</v>
      </c>
      <c r="N240" s="4" t="str">
        <f t="shared" si="7"/>
        <v>('1236','RPT_009', 'LabaTrialBalance3rdSegment', '1216000000 -  Aset takberwujud', 'Aset Tidak Lancar', 'Aset takberwujud', '237', '55', 'AND ma.main_account_id IN (1216000000)', 'B', 'Aset takberwujud', 0, 0),</v>
      </c>
    </row>
    <row r="241" spans="1:14" x14ac:dyDescent="0.3">
      <c r="A241" s="4">
        <v>1237</v>
      </c>
      <c r="B241" s="4" t="s">
        <v>177</v>
      </c>
      <c r="C241" s="4" t="s">
        <v>178</v>
      </c>
      <c r="D241" s="6" t="s">
        <v>396</v>
      </c>
      <c r="E241" s="4" t="s">
        <v>14</v>
      </c>
      <c r="F241" s="9" t="s">
        <v>851</v>
      </c>
      <c r="G241" s="4">
        <v>238</v>
      </c>
      <c r="H241" s="4">
        <v>56</v>
      </c>
      <c r="I241" s="4" t="s">
        <v>934</v>
      </c>
      <c r="J241" s="4" t="str">
        <f t="shared" si="6"/>
        <v>1216020000</v>
      </c>
      <c r="K241" s="1" t="s">
        <v>12</v>
      </c>
      <c r="L241" s="4" t="s">
        <v>171</v>
      </c>
      <c r="M241" s="8" t="s">
        <v>851</v>
      </c>
      <c r="N241" s="4" t="str">
        <f t="shared" si="7"/>
        <v>('1237','RPT_009', 'LabaTrialBalance3rdSegment', '1216020000 -  Lisensi', 'Aset Tidak Lancar', 'Aset takberwujud', '238', '56', 'AND ma.main_account_id IN (1216020000)', 'B', 'Aset takberwujud', 0, 0),</v>
      </c>
    </row>
    <row r="242" spans="1:14" x14ac:dyDescent="0.3">
      <c r="A242" s="4">
        <v>1238</v>
      </c>
      <c r="B242" s="4" t="s">
        <v>177</v>
      </c>
      <c r="C242" s="4" t="s">
        <v>178</v>
      </c>
      <c r="D242" s="7" t="s">
        <v>397</v>
      </c>
      <c r="E242" s="4" t="s">
        <v>14</v>
      </c>
      <c r="F242" s="9" t="s">
        <v>851</v>
      </c>
      <c r="G242" s="4">
        <v>239</v>
      </c>
      <c r="H242" s="4">
        <v>57</v>
      </c>
      <c r="I242" s="4" t="s">
        <v>934</v>
      </c>
      <c r="J242" s="4" t="str">
        <f t="shared" si="6"/>
        <v>1216020001</v>
      </c>
      <c r="K242" s="1" t="s">
        <v>12</v>
      </c>
      <c r="L242" s="4" t="s">
        <v>171</v>
      </c>
      <c r="M242" s="8" t="s">
        <v>851</v>
      </c>
      <c r="N242" s="4" t="str">
        <f t="shared" si="7"/>
        <v>('1238','RPT_009', 'LabaTrialBalance3rdSegment', '1216020001 - Lisensi', 'Aset Tidak Lancar', 'Aset takberwujud', '239', '57', 'AND ma.main_account_id IN (1216020001)', 'B', 'Aset takberwujud', 0, 0),</v>
      </c>
    </row>
    <row r="243" spans="1:14" x14ac:dyDescent="0.3">
      <c r="A243" s="4">
        <v>1239</v>
      </c>
      <c r="B243" s="4" t="s">
        <v>177</v>
      </c>
      <c r="C243" s="4" t="s">
        <v>178</v>
      </c>
      <c r="D243" s="6" t="s">
        <v>398</v>
      </c>
      <c r="E243" s="4" t="s">
        <v>14</v>
      </c>
      <c r="F243" s="9" t="s">
        <v>851</v>
      </c>
      <c r="G243" s="4">
        <v>240</v>
      </c>
      <c r="H243" s="4">
        <v>58</v>
      </c>
      <c r="I243" s="4" t="s">
        <v>934</v>
      </c>
      <c r="J243" s="4" t="str">
        <f t="shared" si="6"/>
        <v>1216030000</v>
      </c>
      <c r="K243" s="1" t="s">
        <v>12</v>
      </c>
      <c r="L243" s="4" t="s">
        <v>171</v>
      </c>
      <c r="M243" s="8" t="s">
        <v>851</v>
      </c>
      <c r="N243" s="4" t="str">
        <f t="shared" si="7"/>
        <v>('1239','RPT_009', 'LabaTrialBalance3rdSegment', '1216030000 -  Perangkat Lunak', 'Aset Tidak Lancar', 'Aset takberwujud', '240', '58', 'AND ma.main_account_id IN (1216030000)', 'B', 'Aset takberwujud', 0, 0),</v>
      </c>
    </row>
    <row r="244" spans="1:14" x14ac:dyDescent="0.3">
      <c r="A244" s="4">
        <v>1240</v>
      </c>
      <c r="B244" s="4" t="s">
        <v>177</v>
      </c>
      <c r="C244" s="4" t="s">
        <v>178</v>
      </c>
      <c r="D244" s="7" t="s">
        <v>399</v>
      </c>
      <c r="E244" s="4" t="s">
        <v>14</v>
      </c>
      <c r="F244" s="9" t="s">
        <v>851</v>
      </c>
      <c r="G244" s="4">
        <v>241</v>
      </c>
      <c r="H244" s="4">
        <v>59</v>
      </c>
      <c r="I244" s="4" t="s">
        <v>934</v>
      </c>
      <c r="J244" s="4" t="str">
        <f t="shared" si="6"/>
        <v>1216030001</v>
      </c>
      <c r="K244" s="1" t="s">
        <v>12</v>
      </c>
      <c r="L244" s="4" t="s">
        <v>171</v>
      </c>
      <c r="M244" s="8" t="s">
        <v>851</v>
      </c>
      <c r="N244" s="4" t="str">
        <f t="shared" si="7"/>
        <v>('1240','RPT_009', 'LabaTrialBalance3rdSegment', '1216030001 - Perangkat Lunak', 'Aset Tidak Lancar', 'Aset takberwujud', '241', '59', 'AND ma.main_account_id IN (1216030001)', 'B', 'Aset takberwujud', 0, 0),</v>
      </c>
    </row>
    <row r="245" spans="1:14" ht="27" x14ac:dyDescent="0.3">
      <c r="A245" s="4">
        <v>1241</v>
      </c>
      <c r="B245" s="4" t="s">
        <v>177</v>
      </c>
      <c r="C245" s="4" t="s">
        <v>178</v>
      </c>
      <c r="D245" s="6" t="s">
        <v>400</v>
      </c>
      <c r="E245" s="4" t="s">
        <v>14</v>
      </c>
      <c r="F245" s="9" t="s">
        <v>851</v>
      </c>
      <c r="G245" s="4">
        <v>242</v>
      </c>
      <c r="H245" s="4">
        <v>60</v>
      </c>
      <c r="I245" s="4" t="s">
        <v>934</v>
      </c>
      <c r="J245" s="4" t="str">
        <f t="shared" si="6"/>
        <v>1216210000</v>
      </c>
      <c r="K245" s="1" t="s">
        <v>12</v>
      </c>
      <c r="L245" s="4" t="s">
        <v>171</v>
      </c>
      <c r="M245" s="8" t="s">
        <v>851</v>
      </c>
      <c r="N245" s="4" t="str">
        <f t="shared" si="7"/>
        <v>('1241','RPT_009', 'LabaTrialBalance3rdSegment', '1216210000 -  Akumulasi Amortisasi - Lisensi', 'Aset Tidak Lancar', 'Aset takberwujud', '242', '60', 'AND ma.main_account_id IN (1216210000)', 'B', 'Aset takberwujud', 0, 0),</v>
      </c>
    </row>
    <row r="246" spans="1:14" ht="27" x14ac:dyDescent="0.3">
      <c r="A246" s="4">
        <v>1242</v>
      </c>
      <c r="B246" s="4" t="s">
        <v>177</v>
      </c>
      <c r="C246" s="4" t="s">
        <v>178</v>
      </c>
      <c r="D246" s="7" t="s">
        <v>401</v>
      </c>
      <c r="E246" s="4" t="s">
        <v>14</v>
      </c>
      <c r="F246" s="9" t="s">
        <v>851</v>
      </c>
      <c r="G246" s="4">
        <v>243</v>
      </c>
      <c r="H246" s="4">
        <v>61</v>
      </c>
      <c r="I246" s="4" t="s">
        <v>934</v>
      </c>
      <c r="J246" s="4" t="str">
        <f t="shared" si="6"/>
        <v>1216210001</v>
      </c>
      <c r="K246" s="1" t="s">
        <v>12</v>
      </c>
      <c r="L246" s="4" t="s">
        <v>171</v>
      </c>
      <c r="M246" s="8" t="s">
        <v>851</v>
      </c>
      <c r="N246" s="4" t="str">
        <f t="shared" si="7"/>
        <v>('1242','RPT_009', 'LabaTrialBalance3rdSegment', '1216210001 - Akumulasi amortisasi - Lisensi', 'Aset Tidak Lancar', 'Aset takberwujud', '243', '61', 'AND ma.main_account_id IN (1216210001)', 'B', 'Aset takberwujud', 0, 0),</v>
      </c>
    </row>
    <row r="247" spans="1:14" ht="27" x14ac:dyDescent="0.3">
      <c r="A247" s="4">
        <v>1243</v>
      </c>
      <c r="B247" s="4" t="s">
        <v>177</v>
      </c>
      <c r="C247" s="4" t="s">
        <v>178</v>
      </c>
      <c r="D247" s="6" t="s">
        <v>402</v>
      </c>
      <c r="E247" s="4" t="s">
        <v>14</v>
      </c>
      <c r="F247" s="9" t="s">
        <v>851</v>
      </c>
      <c r="G247" s="4">
        <v>244</v>
      </c>
      <c r="H247" s="4">
        <v>62</v>
      </c>
      <c r="I247" s="4" t="s">
        <v>934</v>
      </c>
      <c r="J247" s="4" t="str">
        <f t="shared" si="6"/>
        <v>1216220000</v>
      </c>
      <c r="K247" s="1" t="s">
        <v>12</v>
      </c>
      <c r="L247" s="4" t="s">
        <v>171</v>
      </c>
      <c r="M247" s="8" t="s">
        <v>851</v>
      </c>
      <c r="N247" s="4" t="str">
        <f t="shared" si="7"/>
        <v>('1243','RPT_009', 'LabaTrialBalance3rdSegment', '1216220000 -  Akumulasi Amortisasi - Perangkat Lunak', 'Aset Tidak Lancar', 'Aset takberwujud', '244', '62', 'AND ma.main_account_id IN (1216220000)', 'B', 'Aset takberwujud', 0, 0),</v>
      </c>
    </row>
    <row r="248" spans="1:14" ht="27" x14ac:dyDescent="0.3">
      <c r="A248" s="4">
        <v>1244</v>
      </c>
      <c r="B248" s="4" t="s">
        <v>177</v>
      </c>
      <c r="C248" s="4" t="s">
        <v>178</v>
      </c>
      <c r="D248" s="7" t="s">
        <v>403</v>
      </c>
      <c r="E248" s="4" t="s">
        <v>14</v>
      </c>
      <c r="F248" s="9" t="s">
        <v>851</v>
      </c>
      <c r="G248" s="4">
        <v>245</v>
      </c>
      <c r="H248" s="4">
        <v>63</v>
      </c>
      <c r="I248" s="4" t="s">
        <v>934</v>
      </c>
      <c r="J248" s="4" t="str">
        <f t="shared" si="6"/>
        <v>1216220001</v>
      </c>
      <c r="K248" s="1" t="s">
        <v>12</v>
      </c>
      <c r="L248" s="4" t="s">
        <v>171</v>
      </c>
      <c r="M248" s="8" t="s">
        <v>851</v>
      </c>
      <c r="N248" s="4" t="str">
        <f t="shared" si="7"/>
        <v>('1244','RPT_009', 'LabaTrialBalance3rdSegment', '1216220001 - Akumulasi amortisasi - Perangkat lunak', 'Aset Tidak Lancar', 'Aset takberwujud', '245', '63', 'AND ma.main_account_id IN (1216220001)', 'B', 'Aset takberwujud', 0, 0),</v>
      </c>
    </row>
    <row r="249" spans="1:14" x14ac:dyDescent="0.3">
      <c r="A249" s="4">
        <v>1245</v>
      </c>
      <c r="B249" s="4" t="s">
        <v>177</v>
      </c>
      <c r="C249" s="4" t="s">
        <v>178</v>
      </c>
      <c r="D249" s="5" t="s">
        <v>131</v>
      </c>
      <c r="E249" s="4" t="s">
        <v>14</v>
      </c>
      <c r="F249" s="9" t="s">
        <v>852</v>
      </c>
      <c r="G249" s="4">
        <v>246</v>
      </c>
      <c r="H249" s="4">
        <v>64</v>
      </c>
      <c r="I249" s="4" t="s">
        <v>934</v>
      </c>
      <c r="J249" s="4" t="str">
        <f t="shared" si="6"/>
        <v>1299000000</v>
      </c>
      <c r="K249" s="1" t="s">
        <v>12</v>
      </c>
      <c r="L249" s="4" t="s">
        <v>171</v>
      </c>
      <c r="M249" s="8" t="s">
        <v>852</v>
      </c>
      <c r="N249" s="4" t="str">
        <f t="shared" si="7"/>
        <v>('1245','RPT_009', 'LabaTrialBalance3rdSegment', '1299000000 -  Aset tidak lancar lainnya', 'Aset Tidak Lancar', 'Aset tidak lancar lainnya', '246', '64', 'AND ma.main_account_id IN (1299000000)', 'B', 'Aset tidak lancar lainnya', 0, 0),</v>
      </c>
    </row>
    <row r="250" spans="1:14" x14ac:dyDescent="0.3">
      <c r="A250" s="4">
        <v>1246</v>
      </c>
      <c r="B250" s="4" t="s">
        <v>177</v>
      </c>
      <c r="C250" s="4" t="s">
        <v>178</v>
      </c>
      <c r="D250" s="6" t="s">
        <v>404</v>
      </c>
      <c r="E250" s="4" t="s">
        <v>14</v>
      </c>
      <c r="F250" s="9" t="s">
        <v>852</v>
      </c>
      <c r="G250" s="4">
        <v>247</v>
      </c>
      <c r="H250" s="4">
        <v>65</v>
      </c>
      <c r="I250" s="4" t="s">
        <v>934</v>
      </c>
      <c r="J250" s="4" t="str">
        <f t="shared" si="6"/>
        <v>1299010000</v>
      </c>
      <c r="K250" s="1" t="s">
        <v>12</v>
      </c>
      <c r="L250" s="4" t="s">
        <v>171</v>
      </c>
      <c r="M250" s="8" t="s">
        <v>852</v>
      </c>
      <c r="N250" s="4" t="str">
        <f t="shared" si="7"/>
        <v>('1246','RPT_009', 'LabaTrialBalance3rdSegment', '1299010000 -  Uang Jaminan', 'Aset Tidak Lancar', 'Aset tidak lancar lainnya', '247', '65', 'AND ma.main_account_id IN (1299010000)', 'B', 'Aset tidak lancar lainnya', 0, 0),</v>
      </c>
    </row>
    <row r="251" spans="1:14" x14ac:dyDescent="0.3">
      <c r="A251" s="4">
        <v>1247</v>
      </c>
      <c r="B251" s="4" t="s">
        <v>177</v>
      </c>
      <c r="C251" s="4" t="s">
        <v>178</v>
      </c>
      <c r="D251" s="7" t="s">
        <v>405</v>
      </c>
      <c r="E251" s="4" t="s">
        <v>14</v>
      </c>
      <c r="F251" s="9" t="s">
        <v>852</v>
      </c>
      <c r="G251" s="4">
        <v>248</v>
      </c>
      <c r="H251" s="4">
        <v>66</v>
      </c>
      <c r="I251" s="4" t="s">
        <v>934</v>
      </c>
      <c r="J251" s="4" t="str">
        <f t="shared" si="6"/>
        <v>1299010001</v>
      </c>
      <c r="K251" s="1" t="s">
        <v>12</v>
      </c>
      <c r="L251" s="4" t="s">
        <v>171</v>
      </c>
      <c r="M251" s="8" t="s">
        <v>852</v>
      </c>
      <c r="N251" s="4" t="str">
        <f t="shared" si="7"/>
        <v>('1247','RPT_009', 'LabaTrialBalance3rdSegment', '1299010001 - Uang Jaminan', 'Aset Tidak Lancar', 'Aset tidak lancar lainnya', '248', '66', 'AND ma.main_account_id IN (1299010001)', 'B', 'Aset tidak lancar lainnya', 0, 0),</v>
      </c>
    </row>
    <row r="252" spans="1:14" x14ac:dyDescent="0.3">
      <c r="A252" s="4">
        <v>1248</v>
      </c>
      <c r="B252" s="4" t="s">
        <v>177</v>
      </c>
      <c r="C252" s="4" t="s">
        <v>178</v>
      </c>
      <c r="D252" s="2" t="s">
        <v>132</v>
      </c>
      <c r="E252" s="4" t="s">
        <v>15</v>
      </c>
      <c r="F252" s="9" t="s">
        <v>15</v>
      </c>
      <c r="G252" s="4">
        <v>249</v>
      </c>
      <c r="H252" s="4">
        <v>1</v>
      </c>
      <c r="I252" s="4" t="s">
        <v>934</v>
      </c>
      <c r="J252" s="4" t="str">
        <f t="shared" si="6"/>
        <v>2000000000</v>
      </c>
      <c r="K252" s="1" t="s">
        <v>12</v>
      </c>
      <c r="L252" s="4" t="s">
        <v>173</v>
      </c>
      <c r="M252" s="8" t="s">
        <v>15</v>
      </c>
      <c r="N252" s="4" t="str">
        <f t="shared" si="7"/>
        <v>('1248','RPT_009', 'LabaTrialBalance3rdSegment', '2000000000 - Liabilitas', 'Liabilitas', 'Liabilitas', '249', '1', 'AND ma.main_account_id IN (2000000000)', 'C', 'Liabilitas', 0, 0),</v>
      </c>
    </row>
    <row r="253" spans="1:14" x14ac:dyDescent="0.3">
      <c r="A253" s="4">
        <v>1249</v>
      </c>
      <c r="B253" s="4" t="s">
        <v>177</v>
      </c>
      <c r="C253" s="4" t="s">
        <v>178</v>
      </c>
      <c r="D253" s="3" t="s">
        <v>133</v>
      </c>
      <c r="E253" s="4" t="s">
        <v>15</v>
      </c>
      <c r="F253" s="9" t="s">
        <v>16</v>
      </c>
      <c r="G253" s="4">
        <v>250</v>
      </c>
      <c r="H253" s="4">
        <v>2</v>
      </c>
      <c r="I253" s="4" t="s">
        <v>934</v>
      </c>
      <c r="J253" s="4" t="str">
        <f t="shared" si="6"/>
        <v>2100000000</v>
      </c>
      <c r="K253" s="1" t="s">
        <v>12</v>
      </c>
      <c r="L253" s="4" t="s">
        <v>173</v>
      </c>
      <c r="M253" s="8" t="s">
        <v>16</v>
      </c>
      <c r="N253" s="4" t="str">
        <f t="shared" si="7"/>
        <v>('1249','RPT_009', 'LabaTrialBalance3rdSegment', '2100000000 - Liabilitas jangka pendek', 'Liabilitas', 'Liabilitas jangka pendek', '250', '2', 'AND ma.main_account_id IN (2100000000)', 'C', 'Liabilitas jangka pendek', 0, 0),</v>
      </c>
    </row>
    <row r="254" spans="1:14" x14ac:dyDescent="0.3">
      <c r="A254" s="4">
        <v>1250</v>
      </c>
      <c r="B254" s="4" t="s">
        <v>177</v>
      </c>
      <c r="C254" s="4" t="s">
        <v>178</v>
      </c>
      <c r="D254" s="5" t="s">
        <v>134</v>
      </c>
      <c r="E254" s="4" t="s">
        <v>15</v>
      </c>
      <c r="F254" s="9" t="s">
        <v>16</v>
      </c>
      <c r="G254" s="4">
        <v>251</v>
      </c>
      <c r="H254" s="4">
        <v>3</v>
      </c>
      <c r="I254" s="4" t="s">
        <v>934</v>
      </c>
      <c r="J254" s="4" t="str">
        <f t="shared" si="6"/>
        <v>2101000000</v>
      </c>
      <c r="K254" s="1" t="s">
        <v>12</v>
      </c>
      <c r="L254" s="4" t="s">
        <v>173</v>
      </c>
      <c r="M254" s="8" t="s">
        <v>862</v>
      </c>
      <c r="N254" s="4" t="str">
        <f t="shared" si="7"/>
        <v>('1250','RPT_009', 'LabaTrialBalance3rdSegment', '2101000000 -  Utang usaha - Pihak Berelasi', 'Liabilitas', 'Liabilitas jangka pendek', '251', '3', 'AND ma.main_account_id IN (2101000000)', 'C', 'Utang usaha - Pihak Berelasi', 0, 0),</v>
      </c>
    </row>
    <row r="255" spans="1:14" ht="27" x14ac:dyDescent="0.3">
      <c r="A255" s="4">
        <v>1251</v>
      </c>
      <c r="B255" s="4" t="s">
        <v>177</v>
      </c>
      <c r="C255" s="4" t="s">
        <v>178</v>
      </c>
      <c r="D255" s="6" t="s">
        <v>406</v>
      </c>
      <c r="E255" s="4" t="s">
        <v>15</v>
      </c>
      <c r="F255" s="9" t="s">
        <v>16</v>
      </c>
      <c r="G255" s="4">
        <v>252</v>
      </c>
      <c r="H255" s="4">
        <v>4</v>
      </c>
      <c r="I255" s="4" t="s">
        <v>934</v>
      </c>
      <c r="J255" s="4" t="str">
        <f t="shared" si="6"/>
        <v>2101010000</v>
      </c>
      <c r="K255" s="1" t="s">
        <v>12</v>
      </c>
      <c r="L255" s="4" t="s">
        <v>173</v>
      </c>
      <c r="M255" s="8" t="s">
        <v>862</v>
      </c>
      <c r="N255" s="4" t="str">
        <f t="shared" si="7"/>
        <v>('1251','RPT_009', 'LabaTrialBalance3rdSegment', '2101010000 -  Utang usaha pihak berelasi - Intragroup InJourney', 'Liabilitas', 'Liabilitas jangka pendek', '252', '4', 'AND ma.main_account_id IN (2101010000)', 'C', 'Utang usaha - Pihak Berelasi', 0, 0),</v>
      </c>
    </row>
    <row r="256" spans="1:14" ht="40.200000000000003" x14ac:dyDescent="0.3">
      <c r="A256" s="4">
        <v>1252</v>
      </c>
      <c r="B256" s="4" t="s">
        <v>177</v>
      </c>
      <c r="C256" s="4" t="s">
        <v>178</v>
      </c>
      <c r="D256" s="7" t="s">
        <v>407</v>
      </c>
      <c r="E256" s="4" t="s">
        <v>15</v>
      </c>
      <c r="F256" s="9" t="s">
        <v>16</v>
      </c>
      <c r="G256" s="4">
        <v>253</v>
      </c>
      <c r="H256" s="4">
        <v>5</v>
      </c>
      <c r="I256" s="4" t="s">
        <v>934</v>
      </c>
      <c r="J256" s="4" t="str">
        <f t="shared" si="6"/>
        <v>2101010001</v>
      </c>
      <c r="K256" s="1" t="s">
        <v>12</v>
      </c>
      <c r="L256" s="4" t="s">
        <v>173</v>
      </c>
      <c r="M256" s="8" t="s">
        <v>862</v>
      </c>
      <c r="N256" s="4" t="str">
        <f t="shared" si="7"/>
        <v>('1252','RPT_009', 'LabaTrialBalance3rdSegment', '2101010001 - Utang usaha jangka pendek - Pihak berelasi - intragroup Injourney', 'Liabilitas', 'Liabilitas jangka pendek', '253', '5', 'AND ma.main_account_id IN (2101010001)', 'C', 'Utang usaha - Pihak Berelasi', 0, 0),</v>
      </c>
    </row>
    <row r="257" spans="1:14" ht="27" x14ac:dyDescent="0.3">
      <c r="A257" s="4">
        <v>1253</v>
      </c>
      <c r="B257" s="4" t="s">
        <v>177</v>
      </c>
      <c r="C257" s="4" t="s">
        <v>178</v>
      </c>
      <c r="D257" s="6" t="s">
        <v>408</v>
      </c>
      <c r="E257" s="4" t="s">
        <v>15</v>
      </c>
      <c r="F257" s="9" t="s">
        <v>16</v>
      </c>
      <c r="G257" s="4">
        <v>254</v>
      </c>
      <c r="H257" s="4">
        <v>6</v>
      </c>
      <c r="I257" s="4" t="s">
        <v>934</v>
      </c>
      <c r="J257" s="4" t="str">
        <f t="shared" si="6"/>
        <v>2101020000</v>
      </c>
      <c r="K257" s="1" t="s">
        <v>12</v>
      </c>
      <c r="L257" s="4" t="s">
        <v>173</v>
      </c>
      <c r="M257" s="8" t="s">
        <v>862</v>
      </c>
      <c r="N257" s="4" t="str">
        <f t="shared" si="7"/>
        <v>('1253','RPT_009', 'LabaTrialBalance3rdSegment', '2101020000 -  Utang usaha pihak berelasi - lainnya', 'Liabilitas', 'Liabilitas jangka pendek', '254', '6', 'AND ma.main_account_id IN (2101020000)', 'C', 'Utang usaha - Pihak Berelasi', 0, 0),</v>
      </c>
    </row>
    <row r="258" spans="1:14" ht="27" x14ac:dyDescent="0.3">
      <c r="A258" s="4">
        <v>1254</v>
      </c>
      <c r="B258" s="4" t="s">
        <v>177</v>
      </c>
      <c r="C258" s="4" t="s">
        <v>178</v>
      </c>
      <c r="D258" s="7" t="s">
        <v>409</v>
      </c>
      <c r="E258" s="4" t="s">
        <v>15</v>
      </c>
      <c r="F258" s="9" t="s">
        <v>16</v>
      </c>
      <c r="G258" s="4">
        <v>255</v>
      </c>
      <c r="H258" s="4">
        <v>7</v>
      </c>
      <c r="I258" s="4" t="s">
        <v>934</v>
      </c>
      <c r="J258" s="4" t="str">
        <f t="shared" si="6"/>
        <v>2101020001</v>
      </c>
      <c r="K258" s="1" t="s">
        <v>12</v>
      </c>
      <c r="L258" s="4" t="s">
        <v>173</v>
      </c>
      <c r="M258" s="8" t="s">
        <v>862</v>
      </c>
      <c r="N258" s="4" t="str">
        <f t="shared" si="7"/>
        <v>('1254','RPT_009', 'LabaTrialBalance3rdSegment', '2101020001 - Utang usaha jangka pendek - Pihak berelasi lainnya', 'Liabilitas', 'Liabilitas jangka pendek', '255', '7', 'AND ma.main_account_id IN (2101020001)', 'C', 'Utang usaha - Pihak Berelasi', 0, 0),</v>
      </c>
    </row>
    <row r="259" spans="1:14" x14ac:dyDescent="0.3">
      <c r="A259" s="4">
        <v>1255</v>
      </c>
      <c r="B259" s="4" t="s">
        <v>177</v>
      </c>
      <c r="C259" s="4" t="s">
        <v>178</v>
      </c>
      <c r="D259" s="5" t="s">
        <v>135</v>
      </c>
      <c r="E259" s="4" t="s">
        <v>15</v>
      </c>
      <c r="F259" s="9" t="s">
        <v>16</v>
      </c>
      <c r="G259" s="4">
        <v>256</v>
      </c>
      <c r="H259" s="4">
        <v>8</v>
      </c>
      <c r="I259" s="4" t="s">
        <v>934</v>
      </c>
      <c r="J259" s="4" t="str">
        <f t="shared" si="6"/>
        <v>2102000000</v>
      </c>
      <c r="K259" s="1" t="s">
        <v>12</v>
      </c>
      <c r="L259" s="4" t="s">
        <v>173</v>
      </c>
      <c r="M259" s="8" t="s">
        <v>863</v>
      </c>
      <c r="N259" s="4" t="str">
        <f t="shared" si="7"/>
        <v>('1255','RPT_009', 'LabaTrialBalance3rdSegment', '2102000000 -  Utang usaha - Pihak Ketiga', 'Liabilitas', 'Liabilitas jangka pendek', '256', '8', 'AND ma.main_account_id IN (2102000000)', 'C', 'Utang usaha - Pihak Ketiga', 0, 0),</v>
      </c>
    </row>
    <row r="260" spans="1:14" x14ac:dyDescent="0.3">
      <c r="A260" s="4">
        <v>1256</v>
      </c>
      <c r="B260" s="4" t="s">
        <v>177</v>
      </c>
      <c r="C260" s="4" t="s">
        <v>178</v>
      </c>
      <c r="D260" s="6" t="s">
        <v>410</v>
      </c>
      <c r="E260" s="4" t="s">
        <v>15</v>
      </c>
      <c r="F260" s="9" t="s">
        <v>16</v>
      </c>
      <c r="G260" s="4">
        <v>257</v>
      </c>
      <c r="H260" s="4">
        <v>9</v>
      </c>
      <c r="I260" s="4" t="s">
        <v>934</v>
      </c>
      <c r="J260" s="4" t="str">
        <f t="shared" ref="J260:J321" si="8">_xlfn.TEXTBEFORE(D260," -")</f>
        <v>2102010000</v>
      </c>
      <c r="K260" s="1" t="s">
        <v>12</v>
      </c>
      <c r="L260" s="4" t="s">
        <v>173</v>
      </c>
      <c r="M260" s="8" t="s">
        <v>863</v>
      </c>
      <c r="N260" s="4" t="str">
        <f t="shared" si="7"/>
        <v>('1256','RPT_009', 'LabaTrialBalance3rdSegment', '2102010000 -  Utang usaha - pihak ketiga', 'Liabilitas', 'Liabilitas jangka pendek', '257', '9', 'AND ma.main_account_id IN (2102010000)', 'C', 'Utang usaha - Pihak Ketiga', 0, 0),</v>
      </c>
    </row>
    <row r="261" spans="1:14" ht="27" x14ac:dyDescent="0.3">
      <c r="A261" s="4">
        <v>1257</v>
      </c>
      <c r="B261" s="4" t="s">
        <v>177</v>
      </c>
      <c r="C261" s="4" t="s">
        <v>178</v>
      </c>
      <c r="D261" s="7" t="s">
        <v>411</v>
      </c>
      <c r="E261" s="4" t="s">
        <v>15</v>
      </c>
      <c r="F261" s="9" t="s">
        <v>16</v>
      </c>
      <c r="G261" s="4">
        <v>258</v>
      </c>
      <c r="H261" s="4">
        <v>10</v>
      </c>
      <c r="I261" s="4" t="s">
        <v>934</v>
      </c>
      <c r="J261" s="4" t="str">
        <f t="shared" si="8"/>
        <v>2102010001</v>
      </c>
      <c r="K261" s="1" t="s">
        <v>12</v>
      </c>
      <c r="L261" s="4" t="s">
        <v>173</v>
      </c>
      <c r="M261" s="8" t="s">
        <v>863</v>
      </c>
      <c r="N261" s="4" t="str">
        <f t="shared" ref="N261:N324" si="9">"('"&amp;A261&amp;"','"&amp;B261&amp;"', '"&amp;C261&amp;"', '"&amp;D261&amp;"', '"&amp;E261&amp;"', '"&amp;F261&amp;"', '"&amp;G261&amp;"', '"&amp;H261&amp;"', '"&amp;I261&amp;J261&amp;K261&amp;"', '"&amp;L261&amp;"', '"&amp;M261&amp;"', 0, 0),"</f>
        <v>('1257','RPT_009', 'LabaTrialBalance3rdSegment', '2102010001 - Utang usaha jangka pendek - Pihak ketiga', 'Liabilitas', 'Liabilitas jangka pendek', '258', '10', 'AND ma.main_account_id IN (2102010001)', 'C', 'Utang usaha - Pihak Ketiga', 0, 0),</v>
      </c>
    </row>
    <row r="262" spans="1:14" ht="26.4" x14ac:dyDescent="0.3">
      <c r="A262" s="4">
        <v>1258</v>
      </c>
      <c r="B262" s="4" t="s">
        <v>177</v>
      </c>
      <c r="C262" s="4" t="s">
        <v>178</v>
      </c>
      <c r="D262" s="5" t="s">
        <v>136</v>
      </c>
      <c r="E262" s="4" t="s">
        <v>15</v>
      </c>
      <c r="F262" s="9" t="s">
        <v>16</v>
      </c>
      <c r="G262" s="4">
        <v>259</v>
      </c>
      <c r="H262" s="4">
        <v>11</v>
      </c>
      <c r="I262" s="4" t="s">
        <v>934</v>
      </c>
      <c r="J262" s="4" t="str">
        <f t="shared" si="8"/>
        <v>2103000000</v>
      </c>
      <c r="K262" s="1" t="s">
        <v>12</v>
      </c>
      <c r="L262" s="4" t="s">
        <v>173</v>
      </c>
      <c r="M262" s="8" t="s">
        <v>864</v>
      </c>
      <c r="N262" s="4" t="str">
        <f t="shared" si="9"/>
        <v>('1258','RPT_009', 'LabaTrialBalance3rdSegment', '2103000000 -  Pendapatan Diterima Dimuka', 'Liabilitas', 'Liabilitas jangka pendek', '259', '11', 'AND ma.main_account_id IN (2103000000)', 'C', 'Pendapatan Diterima Dimuka', 0, 0),</v>
      </c>
    </row>
    <row r="263" spans="1:14" ht="27" x14ac:dyDescent="0.3">
      <c r="A263" s="4">
        <v>1259</v>
      </c>
      <c r="B263" s="4" t="s">
        <v>177</v>
      </c>
      <c r="C263" s="4" t="s">
        <v>178</v>
      </c>
      <c r="D263" s="6" t="s">
        <v>412</v>
      </c>
      <c r="E263" s="4" t="s">
        <v>15</v>
      </c>
      <c r="F263" s="9" t="s">
        <v>16</v>
      </c>
      <c r="G263" s="4">
        <v>260</v>
      </c>
      <c r="H263" s="4">
        <v>12</v>
      </c>
      <c r="I263" s="4" t="s">
        <v>934</v>
      </c>
      <c r="J263" s="4" t="str">
        <f t="shared" si="8"/>
        <v>2103010000</v>
      </c>
      <c r="K263" s="1" t="s">
        <v>12</v>
      </c>
      <c r="L263" s="4" t="s">
        <v>173</v>
      </c>
      <c r="M263" s="8" t="s">
        <v>864</v>
      </c>
      <c r="N263" s="4" t="str">
        <f t="shared" si="9"/>
        <v>('1259','RPT_009', 'LabaTrialBalance3rdSegment', '2103010000 -  Pendapatan Diterima Dimuka berelasi - Intragroup Injourney', 'Liabilitas', 'Liabilitas jangka pendek', '260', '12', 'AND ma.main_account_id IN (2103010000)', 'C', 'Pendapatan Diterima Dimuka', 0, 0),</v>
      </c>
    </row>
    <row r="264" spans="1:14" ht="40.200000000000003" x14ac:dyDescent="0.3">
      <c r="A264" s="4">
        <v>1260</v>
      </c>
      <c r="B264" s="4" t="s">
        <v>177</v>
      </c>
      <c r="C264" s="4" t="s">
        <v>178</v>
      </c>
      <c r="D264" s="7" t="s">
        <v>413</v>
      </c>
      <c r="E264" s="4" t="s">
        <v>15</v>
      </c>
      <c r="F264" s="9" t="s">
        <v>16</v>
      </c>
      <c r="G264" s="4">
        <v>261</v>
      </c>
      <c r="H264" s="4">
        <v>13</v>
      </c>
      <c r="I264" s="4" t="s">
        <v>934</v>
      </c>
      <c r="J264" s="4" t="str">
        <f t="shared" si="8"/>
        <v>2103010001</v>
      </c>
      <c r="K264" s="1" t="s">
        <v>12</v>
      </c>
      <c r="L264" s="4" t="s">
        <v>173</v>
      </c>
      <c r="M264" s="8" t="s">
        <v>864</v>
      </c>
      <c r="N264" s="4" t="str">
        <f t="shared" si="9"/>
        <v>('1260','RPT_009', 'LabaTrialBalance3rdSegment', '2103010001 - Pendapatan diterima dimuka - Pihak berelasi - intragroup Injourney', 'Liabilitas', 'Liabilitas jangka pendek', '261', '13', 'AND ma.main_account_id IN (2103010001)', 'C', 'Pendapatan Diterima Dimuka', 0, 0),</v>
      </c>
    </row>
    <row r="265" spans="1:14" ht="27" x14ac:dyDescent="0.3">
      <c r="A265" s="4">
        <v>1261</v>
      </c>
      <c r="B265" s="4" t="s">
        <v>177</v>
      </c>
      <c r="C265" s="4" t="s">
        <v>178</v>
      </c>
      <c r="D265" s="6" t="s">
        <v>414</v>
      </c>
      <c r="E265" s="4" t="s">
        <v>15</v>
      </c>
      <c r="F265" s="9" t="s">
        <v>16</v>
      </c>
      <c r="G265" s="4">
        <v>262</v>
      </c>
      <c r="H265" s="4">
        <v>14</v>
      </c>
      <c r="I265" s="4" t="s">
        <v>934</v>
      </c>
      <c r="J265" s="4" t="str">
        <f t="shared" si="8"/>
        <v>2103020000</v>
      </c>
      <c r="K265" s="1" t="s">
        <v>12</v>
      </c>
      <c r="L265" s="4" t="s">
        <v>173</v>
      </c>
      <c r="M265" s="8" t="s">
        <v>864</v>
      </c>
      <c r="N265" s="4" t="str">
        <f t="shared" si="9"/>
        <v>('1261','RPT_009', 'LabaTrialBalance3rdSegment', '2103020000 -  Pendapatan Diterima Dimuka berelasi - lainnya', 'Liabilitas', 'Liabilitas jangka pendek', '262', '14', 'AND ma.main_account_id IN (2103020000)', 'C', 'Pendapatan Diterima Dimuka', 0, 0),</v>
      </c>
    </row>
    <row r="266" spans="1:14" ht="27" x14ac:dyDescent="0.3">
      <c r="A266" s="4">
        <v>1262</v>
      </c>
      <c r="B266" s="4" t="s">
        <v>177</v>
      </c>
      <c r="C266" s="4" t="s">
        <v>178</v>
      </c>
      <c r="D266" s="7" t="s">
        <v>415</v>
      </c>
      <c r="E266" s="4" t="s">
        <v>15</v>
      </c>
      <c r="F266" s="9" t="s">
        <v>16</v>
      </c>
      <c r="G266" s="4">
        <v>263</v>
      </c>
      <c r="H266" s="4">
        <v>15</v>
      </c>
      <c r="I266" s="4" t="s">
        <v>934</v>
      </c>
      <c r="J266" s="4" t="str">
        <f t="shared" si="8"/>
        <v>2103020001</v>
      </c>
      <c r="K266" s="1" t="s">
        <v>12</v>
      </c>
      <c r="L266" s="4" t="s">
        <v>173</v>
      </c>
      <c r="M266" s="8" t="s">
        <v>864</v>
      </c>
      <c r="N266" s="4" t="str">
        <f t="shared" si="9"/>
        <v>('1262','RPT_009', 'LabaTrialBalance3rdSegment', '2103020001 - Pendapatan diterima dimuka - Pihak berelasi lainnya', 'Liabilitas', 'Liabilitas jangka pendek', '263', '15', 'AND ma.main_account_id IN (2103020001)', 'C', 'Pendapatan Diterima Dimuka', 0, 0),</v>
      </c>
    </row>
    <row r="267" spans="1:14" ht="27" x14ac:dyDescent="0.3">
      <c r="A267" s="4">
        <v>1263</v>
      </c>
      <c r="B267" s="4" t="s">
        <v>177</v>
      </c>
      <c r="C267" s="4" t="s">
        <v>178</v>
      </c>
      <c r="D267" s="6" t="s">
        <v>416</v>
      </c>
      <c r="E267" s="4" t="s">
        <v>15</v>
      </c>
      <c r="F267" s="9" t="s">
        <v>16</v>
      </c>
      <c r="G267" s="4">
        <v>264</v>
      </c>
      <c r="H267" s="4">
        <v>16</v>
      </c>
      <c r="I267" s="4" t="s">
        <v>934</v>
      </c>
      <c r="J267" s="4" t="str">
        <f t="shared" si="8"/>
        <v>2103030000</v>
      </c>
      <c r="K267" s="1" t="s">
        <v>12</v>
      </c>
      <c r="L267" s="4" t="s">
        <v>173</v>
      </c>
      <c r="M267" s="8" t="s">
        <v>864</v>
      </c>
      <c r="N267" s="4" t="str">
        <f t="shared" si="9"/>
        <v>('1263','RPT_009', 'LabaTrialBalance3rdSegment', '2103030000 -  Pendapatan Diterima Dimuka - Pihak Ketiga', 'Liabilitas', 'Liabilitas jangka pendek', '264', '16', 'AND ma.main_account_id IN (2103030000)', 'C', 'Pendapatan Diterima Dimuka', 0, 0),</v>
      </c>
    </row>
    <row r="268" spans="1:14" ht="27" x14ac:dyDescent="0.3">
      <c r="A268" s="4">
        <v>1264</v>
      </c>
      <c r="B268" s="4" t="s">
        <v>177</v>
      </c>
      <c r="C268" s="4" t="s">
        <v>178</v>
      </c>
      <c r="D268" s="7" t="s">
        <v>417</v>
      </c>
      <c r="E268" s="4" t="s">
        <v>15</v>
      </c>
      <c r="F268" s="9" t="s">
        <v>16</v>
      </c>
      <c r="G268" s="4">
        <v>265</v>
      </c>
      <c r="H268" s="4">
        <v>17</v>
      </c>
      <c r="I268" s="4" t="s">
        <v>934</v>
      </c>
      <c r="J268" s="4" t="str">
        <f t="shared" si="8"/>
        <v>2103030001</v>
      </c>
      <c r="K268" s="1" t="s">
        <v>12</v>
      </c>
      <c r="L268" s="4" t="s">
        <v>173</v>
      </c>
      <c r="M268" s="8" t="s">
        <v>864</v>
      </c>
      <c r="N268" s="4" t="str">
        <f t="shared" si="9"/>
        <v>('1264','RPT_009', 'LabaTrialBalance3rdSegment', '2103030001 - Pendapatan Diterima Dimuka - Pihak Ketiga', 'Liabilitas', 'Liabilitas jangka pendek', '265', '17', 'AND ma.main_account_id IN (2103030001)', 'C', 'Pendapatan Diterima Dimuka', 0, 0),</v>
      </c>
    </row>
    <row r="269" spans="1:14" ht="31.2" x14ac:dyDescent="0.3">
      <c r="A269" s="4">
        <v>1265</v>
      </c>
      <c r="B269" s="4" t="s">
        <v>177</v>
      </c>
      <c r="C269" s="4" t="s">
        <v>178</v>
      </c>
      <c r="D269" s="5" t="s">
        <v>137</v>
      </c>
      <c r="E269" s="4" t="s">
        <v>15</v>
      </c>
      <c r="F269" s="9" t="s">
        <v>16</v>
      </c>
      <c r="G269" s="4">
        <v>266</v>
      </c>
      <c r="H269" s="4">
        <v>18</v>
      </c>
      <c r="I269" s="4" t="s">
        <v>934</v>
      </c>
      <c r="J269" s="4" t="str">
        <f t="shared" si="8"/>
        <v>2104000000</v>
      </c>
      <c r="K269" s="1" t="s">
        <v>12</v>
      </c>
      <c r="L269" s="4" t="s">
        <v>173</v>
      </c>
      <c r="M269" s="8" t="s">
        <v>865</v>
      </c>
      <c r="N269" s="4" t="str">
        <f t="shared" si="9"/>
        <v>('1265','RPT_009', 'LabaTrialBalance3rdSegment', '2104000000 -  Beban akrual - pihak berelasi - Intragroup InJourney', 'Liabilitas', 'Liabilitas jangka pendek', '266', '18', 'AND ma.main_account_id IN (2104000000)', 'C', 'Beban akrual - pihak berelasi - Intragroup InJourney', 0, 0),</v>
      </c>
    </row>
    <row r="270" spans="1:14" ht="31.2" x14ac:dyDescent="0.3">
      <c r="A270" s="4">
        <v>1266</v>
      </c>
      <c r="B270" s="4" t="s">
        <v>177</v>
      </c>
      <c r="C270" s="4" t="s">
        <v>178</v>
      </c>
      <c r="D270" s="6" t="s">
        <v>418</v>
      </c>
      <c r="E270" s="4" t="s">
        <v>15</v>
      </c>
      <c r="F270" s="9" t="s">
        <v>16</v>
      </c>
      <c r="G270" s="4">
        <v>267</v>
      </c>
      <c r="H270" s="4">
        <v>19</v>
      </c>
      <c r="I270" s="4" t="s">
        <v>934</v>
      </c>
      <c r="J270" s="4" t="str">
        <f t="shared" si="8"/>
        <v>2104020000</v>
      </c>
      <c r="K270" s="1" t="s">
        <v>12</v>
      </c>
      <c r="L270" s="4" t="s">
        <v>173</v>
      </c>
      <c r="M270" s="8" t="s">
        <v>865</v>
      </c>
      <c r="N270" s="4" t="str">
        <f t="shared" si="9"/>
        <v>('1266','RPT_009', 'LabaTrialBalance3rdSegment', '2104020000 -  Umum dan Pemeliharaan', 'Liabilitas', 'Liabilitas jangka pendek', '267', '19', 'AND ma.main_account_id IN (2104020000)', 'C', 'Beban akrual - pihak berelasi - Intragroup InJourney', 0, 0),</v>
      </c>
    </row>
    <row r="271" spans="1:14" ht="40.200000000000003" x14ac:dyDescent="0.3">
      <c r="A271" s="4">
        <v>1267</v>
      </c>
      <c r="B271" s="4" t="s">
        <v>177</v>
      </c>
      <c r="C271" s="4" t="s">
        <v>178</v>
      </c>
      <c r="D271" s="7" t="s">
        <v>419</v>
      </c>
      <c r="E271" s="4" t="s">
        <v>15</v>
      </c>
      <c r="F271" s="9" t="s">
        <v>16</v>
      </c>
      <c r="G271" s="4">
        <v>268</v>
      </c>
      <c r="H271" s="4">
        <v>20</v>
      </c>
      <c r="I271" s="4" t="s">
        <v>934</v>
      </c>
      <c r="J271" s="4" t="str">
        <f t="shared" si="8"/>
        <v>2104020001</v>
      </c>
      <c r="K271" s="1" t="s">
        <v>12</v>
      </c>
      <c r="L271" s="4" t="s">
        <v>173</v>
      </c>
      <c r="M271" s="8" t="s">
        <v>865</v>
      </c>
      <c r="N271" s="4" t="str">
        <f t="shared" si="9"/>
        <v>('1267','RPT_009', 'LabaTrialBalance3rdSegment', '2104020001 - Beban Akrual - Umum dan Pemeliharaan - Pihak berelasi - intragroup Injourney', 'Liabilitas', 'Liabilitas jangka pendek', '268', '20', 'AND ma.main_account_id IN (2104020001)', 'C', 'Beban akrual - pihak berelasi - Intragroup InJourney', 0, 0),</v>
      </c>
    </row>
    <row r="272" spans="1:14" ht="31.2" x14ac:dyDescent="0.3">
      <c r="A272" s="4">
        <v>1268</v>
      </c>
      <c r="B272" s="4" t="s">
        <v>177</v>
      </c>
      <c r="C272" s="4" t="s">
        <v>178</v>
      </c>
      <c r="D272" s="5" t="s">
        <v>138</v>
      </c>
      <c r="E272" s="4" t="s">
        <v>15</v>
      </c>
      <c r="F272" s="9" t="s">
        <v>16</v>
      </c>
      <c r="G272" s="4">
        <v>269</v>
      </c>
      <c r="H272" s="4">
        <v>21</v>
      </c>
      <c r="I272" s="4" t="s">
        <v>934</v>
      </c>
      <c r="J272" s="4" t="str">
        <f t="shared" si="8"/>
        <v>2105000000</v>
      </c>
      <c r="K272" s="1" t="s">
        <v>12</v>
      </c>
      <c r="L272" s="4" t="s">
        <v>173</v>
      </c>
      <c r="M272" s="8" t="s">
        <v>866</v>
      </c>
      <c r="N272" s="4" t="str">
        <f t="shared" si="9"/>
        <v>('1268','RPT_009', 'LabaTrialBalance3rdSegment', '2105000000 -  Beban akrual - pihak berelasi - lainnya', 'Liabilitas', 'Liabilitas jangka pendek', '269', '21', 'AND ma.main_account_id IN (2105000000)', 'C', 'Beban akrual - pihak berelasi - lainnya', 0, 0),</v>
      </c>
    </row>
    <row r="273" spans="1:14" ht="31.2" x14ac:dyDescent="0.3">
      <c r="A273" s="4">
        <v>1269</v>
      </c>
      <c r="B273" s="4" t="s">
        <v>177</v>
      </c>
      <c r="C273" s="4" t="s">
        <v>178</v>
      </c>
      <c r="D273" s="6" t="s">
        <v>420</v>
      </c>
      <c r="E273" s="4" t="s">
        <v>15</v>
      </c>
      <c r="F273" s="9" t="s">
        <v>16</v>
      </c>
      <c r="G273" s="4">
        <v>270</v>
      </c>
      <c r="H273" s="4">
        <v>22</v>
      </c>
      <c r="I273" s="4" t="s">
        <v>934</v>
      </c>
      <c r="J273" s="4" t="str">
        <f t="shared" si="8"/>
        <v>2105020000</v>
      </c>
      <c r="K273" s="1" t="s">
        <v>12</v>
      </c>
      <c r="L273" s="4" t="s">
        <v>173</v>
      </c>
      <c r="M273" s="8" t="s">
        <v>866</v>
      </c>
      <c r="N273" s="4" t="str">
        <f t="shared" si="9"/>
        <v>('1269','RPT_009', 'LabaTrialBalance3rdSegment', '2105020000 -  Umum dan Pemeliharaan', 'Liabilitas', 'Liabilitas jangka pendek', '270', '22', 'AND ma.main_account_id IN (2105020000)', 'C', 'Beban akrual - pihak berelasi - lainnya', 0, 0),</v>
      </c>
    </row>
    <row r="274" spans="1:14" ht="31.2" x14ac:dyDescent="0.3">
      <c r="A274" s="4">
        <v>1270</v>
      </c>
      <c r="B274" s="4" t="s">
        <v>177</v>
      </c>
      <c r="C274" s="4" t="s">
        <v>178</v>
      </c>
      <c r="D274" s="7" t="s">
        <v>421</v>
      </c>
      <c r="E274" s="4" t="s">
        <v>15</v>
      </c>
      <c r="F274" s="9" t="s">
        <v>16</v>
      </c>
      <c r="G274" s="4">
        <v>271</v>
      </c>
      <c r="H274" s="4">
        <v>23</v>
      </c>
      <c r="I274" s="4" t="s">
        <v>934</v>
      </c>
      <c r="J274" s="4" t="str">
        <f t="shared" si="8"/>
        <v>2105020001</v>
      </c>
      <c r="K274" s="1" t="s">
        <v>12</v>
      </c>
      <c r="L274" s="4" t="s">
        <v>173</v>
      </c>
      <c r="M274" s="8" t="s">
        <v>866</v>
      </c>
      <c r="N274" s="4" t="str">
        <f t="shared" si="9"/>
        <v>('1270','RPT_009', 'LabaTrialBalance3rdSegment', '2105020001 - Beban Akrual - Umum dan Pemeliharaan - Pihak berelasi lainnya', 'Liabilitas', 'Liabilitas jangka pendek', '271', '23', 'AND ma.main_account_id IN (2105020001)', 'C', 'Beban akrual - pihak berelasi - lainnya', 0, 0),</v>
      </c>
    </row>
    <row r="275" spans="1:14" x14ac:dyDescent="0.3">
      <c r="A275" s="4">
        <v>1271</v>
      </c>
      <c r="B275" s="4" t="s">
        <v>177</v>
      </c>
      <c r="C275" s="4" t="s">
        <v>178</v>
      </c>
      <c r="D275" s="5" t="s">
        <v>139</v>
      </c>
      <c r="E275" s="4" t="s">
        <v>15</v>
      </c>
      <c r="F275" s="9" t="s">
        <v>16</v>
      </c>
      <c r="G275" s="4">
        <v>272</v>
      </c>
      <c r="H275" s="4">
        <v>24</v>
      </c>
      <c r="I275" s="4" t="s">
        <v>934</v>
      </c>
      <c r="J275" s="4" t="str">
        <f t="shared" si="8"/>
        <v>2106000000</v>
      </c>
      <c r="K275" s="1" t="s">
        <v>12</v>
      </c>
      <c r="L275" s="4" t="s">
        <v>173</v>
      </c>
      <c r="M275" s="8" t="s">
        <v>867</v>
      </c>
      <c r="N275" s="4" t="str">
        <f t="shared" si="9"/>
        <v>('1271','RPT_009', 'LabaTrialBalance3rdSegment', '2106000000 -  Beban akrual - pihak ketiga', 'Liabilitas', 'Liabilitas jangka pendek', '272', '24', 'AND ma.main_account_id IN (2106000000)', 'C', 'Beban akrual - pihak ketiga', 0, 0),</v>
      </c>
    </row>
    <row r="276" spans="1:14" x14ac:dyDescent="0.3">
      <c r="A276" s="4">
        <v>1272</v>
      </c>
      <c r="B276" s="4" t="s">
        <v>177</v>
      </c>
      <c r="C276" s="4" t="s">
        <v>178</v>
      </c>
      <c r="D276" s="6" t="s">
        <v>422</v>
      </c>
      <c r="E276" s="4" t="s">
        <v>15</v>
      </c>
      <c r="F276" s="9" t="s">
        <v>16</v>
      </c>
      <c r="G276" s="4">
        <v>273</v>
      </c>
      <c r="H276" s="4">
        <v>25</v>
      </c>
      <c r="I276" s="4" t="s">
        <v>934</v>
      </c>
      <c r="J276" s="4" t="str">
        <f t="shared" si="8"/>
        <v>2106020000</v>
      </c>
      <c r="K276" s="1" t="s">
        <v>12</v>
      </c>
      <c r="L276" s="4" t="s">
        <v>173</v>
      </c>
      <c r="M276" s="8" t="s">
        <v>867</v>
      </c>
      <c r="N276" s="4" t="str">
        <f t="shared" si="9"/>
        <v>('1272','RPT_009', 'LabaTrialBalance3rdSegment', '2106020000 -  Umum dan Pemeliharaan', 'Liabilitas', 'Liabilitas jangka pendek', '273', '25', 'AND ma.main_account_id IN (2106020000)', 'C', 'Beban akrual - pihak ketiga', 0, 0),</v>
      </c>
    </row>
    <row r="277" spans="1:14" ht="27" x14ac:dyDescent="0.3">
      <c r="A277" s="4">
        <v>1273</v>
      </c>
      <c r="B277" s="4" t="s">
        <v>177</v>
      </c>
      <c r="C277" s="4" t="s">
        <v>178</v>
      </c>
      <c r="D277" s="7" t="s">
        <v>423</v>
      </c>
      <c r="E277" s="4" t="s">
        <v>15</v>
      </c>
      <c r="F277" s="9" t="s">
        <v>16</v>
      </c>
      <c r="G277" s="4">
        <v>274</v>
      </c>
      <c r="H277" s="4">
        <v>26</v>
      </c>
      <c r="I277" s="4" t="s">
        <v>934</v>
      </c>
      <c r="J277" s="4" t="str">
        <f t="shared" si="8"/>
        <v>2106020001</v>
      </c>
      <c r="K277" s="1" t="s">
        <v>12</v>
      </c>
      <c r="L277" s="4" t="s">
        <v>173</v>
      </c>
      <c r="M277" s="8" t="s">
        <v>867</v>
      </c>
      <c r="N277" s="4" t="str">
        <f t="shared" si="9"/>
        <v>('1273','RPT_009', 'LabaTrialBalance3rdSegment', '2106020001 - Beban Akrual - Umum dan Pemeliharaan - Pihak ketiga', 'Liabilitas', 'Liabilitas jangka pendek', '274', '26', 'AND ma.main_account_id IN (2106020001)', 'C', 'Beban akrual - pihak ketiga', 0, 0),</v>
      </c>
    </row>
    <row r="278" spans="1:14" ht="27" x14ac:dyDescent="0.3">
      <c r="A278" s="4">
        <v>1274</v>
      </c>
      <c r="B278" s="4" t="s">
        <v>177</v>
      </c>
      <c r="C278" s="4" t="s">
        <v>178</v>
      </c>
      <c r="D278" s="6" t="s">
        <v>424</v>
      </c>
      <c r="E278" s="4" t="s">
        <v>15</v>
      </c>
      <c r="F278" s="9" t="s">
        <v>16</v>
      </c>
      <c r="G278" s="4">
        <v>275</v>
      </c>
      <c r="H278" s="4">
        <v>27</v>
      </c>
      <c r="I278" s="4" t="s">
        <v>934</v>
      </c>
      <c r="J278" s="4" t="str">
        <f t="shared" si="8"/>
        <v>2106040000</v>
      </c>
      <c r="K278" s="1" t="s">
        <v>12</v>
      </c>
      <c r="L278" s="4" t="s">
        <v>173</v>
      </c>
      <c r="M278" s="8" t="s">
        <v>867</v>
      </c>
      <c r="N278" s="4" t="str">
        <f t="shared" si="9"/>
        <v>('1274','RPT_009', 'LabaTrialBalance3rdSegment', '2106040000 -  Jasa profesional dan konsultan', 'Liabilitas', 'Liabilitas jangka pendek', '275', '27', 'AND ma.main_account_id IN (2106040000)', 'C', 'Beban akrual - pihak ketiga', 0, 0),</v>
      </c>
    </row>
    <row r="279" spans="1:14" ht="27" x14ac:dyDescent="0.3">
      <c r="A279" s="4">
        <v>1275</v>
      </c>
      <c r="B279" s="4" t="s">
        <v>177</v>
      </c>
      <c r="C279" s="4" t="s">
        <v>178</v>
      </c>
      <c r="D279" s="7" t="s">
        <v>425</v>
      </c>
      <c r="E279" s="4" t="s">
        <v>15</v>
      </c>
      <c r="F279" s="9" t="s">
        <v>16</v>
      </c>
      <c r="G279" s="4">
        <v>276</v>
      </c>
      <c r="H279" s="4">
        <v>28</v>
      </c>
      <c r="I279" s="4" t="s">
        <v>934</v>
      </c>
      <c r="J279" s="4" t="str">
        <f t="shared" si="8"/>
        <v>2106040001</v>
      </c>
      <c r="K279" s="1" t="s">
        <v>12</v>
      </c>
      <c r="L279" s="4" t="s">
        <v>173</v>
      </c>
      <c r="M279" s="8" t="s">
        <v>867</v>
      </c>
      <c r="N279" s="4" t="str">
        <f t="shared" si="9"/>
        <v>('1275','RPT_009', 'LabaTrialBalance3rdSegment', '2106040001 - Beban Akrual - Jasa profesional dan konsultan - Pihak ketiga', 'Liabilitas', 'Liabilitas jangka pendek', '276', '28', 'AND ma.main_account_id IN (2106040001)', 'C', 'Beban akrual - pihak ketiga', 0, 0),</v>
      </c>
    </row>
    <row r="280" spans="1:14" x14ac:dyDescent="0.3">
      <c r="A280" s="4">
        <v>1276</v>
      </c>
      <c r="B280" s="4" t="s">
        <v>177</v>
      </c>
      <c r="C280" s="4" t="s">
        <v>178</v>
      </c>
      <c r="D280" s="6" t="s">
        <v>426</v>
      </c>
      <c r="E280" s="4" t="s">
        <v>15</v>
      </c>
      <c r="F280" s="9" t="s">
        <v>16</v>
      </c>
      <c r="G280" s="4">
        <v>277</v>
      </c>
      <c r="H280" s="4">
        <v>29</v>
      </c>
      <c r="I280" s="4" t="s">
        <v>934</v>
      </c>
      <c r="J280" s="4" t="str">
        <f t="shared" si="8"/>
        <v>2106200000</v>
      </c>
      <c r="K280" s="1" t="s">
        <v>12</v>
      </c>
      <c r="L280" s="4" t="s">
        <v>173</v>
      </c>
      <c r="M280" s="8" t="s">
        <v>867</v>
      </c>
      <c r="N280" s="4" t="str">
        <f t="shared" si="9"/>
        <v>('1276','RPT_009', 'LabaTrialBalance3rdSegment', '2106200000 -  Pegawai', 'Liabilitas', 'Liabilitas jangka pendek', '277', '29', 'AND ma.main_account_id IN (2106200000)', 'C', 'Beban akrual - pihak ketiga', 0, 0),</v>
      </c>
    </row>
    <row r="281" spans="1:14" ht="27" x14ac:dyDescent="0.3">
      <c r="A281" s="4">
        <v>1277</v>
      </c>
      <c r="B281" s="4" t="s">
        <v>177</v>
      </c>
      <c r="C281" s="4" t="s">
        <v>178</v>
      </c>
      <c r="D281" s="7" t="s">
        <v>427</v>
      </c>
      <c r="E281" s="4" t="s">
        <v>15</v>
      </c>
      <c r="F281" s="9" t="s">
        <v>16</v>
      </c>
      <c r="G281" s="4">
        <v>278</v>
      </c>
      <c r="H281" s="4">
        <v>30</v>
      </c>
      <c r="I281" s="4" t="s">
        <v>934</v>
      </c>
      <c r="J281" s="4" t="str">
        <f t="shared" si="8"/>
        <v>2106200003</v>
      </c>
      <c r="K281" s="1" t="s">
        <v>12</v>
      </c>
      <c r="L281" s="4" t="s">
        <v>173</v>
      </c>
      <c r="M281" s="8" t="s">
        <v>867</v>
      </c>
      <c r="N281" s="4" t="str">
        <f t="shared" si="9"/>
        <v>('1277','RPT_009', 'LabaTrialBalance3rdSegment', '2106200003 - Beban Akrual - Tunjangan-tunjangan Pegawai - Pihak ketiga', 'Liabilitas', 'Liabilitas jangka pendek', '278', '30', 'AND ma.main_account_id IN (2106200003)', 'C', 'Beban akrual - pihak ketiga', 0, 0),</v>
      </c>
    </row>
    <row r="282" spans="1:14" x14ac:dyDescent="0.3">
      <c r="A282" s="4">
        <v>1278</v>
      </c>
      <c r="B282" s="4" t="s">
        <v>177</v>
      </c>
      <c r="C282" s="4" t="s">
        <v>178</v>
      </c>
      <c r="D282" s="6" t="s">
        <v>428</v>
      </c>
      <c r="E282" s="4" t="s">
        <v>15</v>
      </c>
      <c r="F282" s="9" t="s">
        <v>16</v>
      </c>
      <c r="G282" s="4">
        <v>279</v>
      </c>
      <c r="H282" s="4">
        <v>31</v>
      </c>
      <c r="I282" s="4" t="s">
        <v>934</v>
      </c>
      <c r="J282" s="4" t="str">
        <f t="shared" si="8"/>
        <v>2106210000</v>
      </c>
      <c r="K282" s="1" t="s">
        <v>12</v>
      </c>
      <c r="L282" s="4" t="s">
        <v>173</v>
      </c>
      <c r="M282" s="8" t="s">
        <v>867</v>
      </c>
      <c r="N282" s="4" t="str">
        <f t="shared" si="9"/>
        <v>('1278','RPT_009', 'LabaTrialBalance3rdSegment', '2106210000 -  Jasa konstruksi proyek', 'Liabilitas', 'Liabilitas jangka pendek', '279', '31', 'AND ma.main_account_id IN (2106210000)', 'C', 'Beban akrual - pihak ketiga', 0, 0),</v>
      </c>
    </row>
    <row r="283" spans="1:14" ht="27" x14ac:dyDescent="0.3">
      <c r="A283" s="4">
        <v>1279</v>
      </c>
      <c r="B283" s="4" t="s">
        <v>177</v>
      </c>
      <c r="C283" s="4" t="s">
        <v>178</v>
      </c>
      <c r="D283" s="7" t="s">
        <v>429</v>
      </c>
      <c r="E283" s="4" t="s">
        <v>15</v>
      </c>
      <c r="F283" s="9" t="s">
        <v>16</v>
      </c>
      <c r="G283" s="4">
        <v>280</v>
      </c>
      <c r="H283" s="4">
        <v>32</v>
      </c>
      <c r="I283" s="4" t="s">
        <v>934</v>
      </c>
      <c r="J283" s="4" t="str">
        <f t="shared" si="8"/>
        <v>2106210001</v>
      </c>
      <c r="K283" s="1" t="s">
        <v>12</v>
      </c>
      <c r="L283" s="4" t="s">
        <v>173</v>
      </c>
      <c r="M283" s="8" t="s">
        <v>867</v>
      </c>
      <c r="N283" s="4" t="str">
        <f t="shared" si="9"/>
        <v>('1279','RPT_009', 'LabaTrialBalance3rdSegment', '2106210001 - Beban Akrual - Jasa konstruksi proyek - Pihak ketiga', 'Liabilitas', 'Liabilitas jangka pendek', '280', '32', 'AND ma.main_account_id IN (2106210001)', 'C', 'Beban akrual - pihak ketiga', 0, 0),</v>
      </c>
    </row>
    <row r="284" spans="1:14" x14ac:dyDescent="0.3">
      <c r="A284" s="4">
        <v>1280</v>
      </c>
      <c r="B284" s="4" t="s">
        <v>177</v>
      </c>
      <c r="C284" s="4" t="s">
        <v>178</v>
      </c>
      <c r="D284" s="5" t="s">
        <v>140</v>
      </c>
      <c r="E284" s="4" t="s">
        <v>15</v>
      </c>
      <c r="F284" s="9" t="s">
        <v>16</v>
      </c>
      <c r="G284" s="4">
        <v>281</v>
      </c>
      <c r="H284" s="4">
        <v>33</v>
      </c>
      <c r="I284" s="4" t="s">
        <v>934</v>
      </c>
      <c r="J284" s="4" t="str">
        <f t="shared" si="8"/>
        <v>2107000000</v>
      </c>
      <c r="K284" s="1" t="s">
        <v>12</v>
      </c>
      <c r="L284" s="4" t="s">
        <v>173</v>
      </c>
      <c r="M284" s="8" t="s">
        <v>868</v>
      </c>
      <c r="N284" s="4" t="str">
        <f t="shared" si="9"/>
        <v>('1280','RPT_009', 'LabaTrialBalance3rdSegment', '2107000000 -  Utang pajak', 'Liabilitas', 'Liabilitas jangka pendek', '281', '33', 'AND ma.main_account_id IN (2107000000)', 'C', 'Utang pajak', 0, 0),</v>
      </c>
    </row>
    <row r="285" spans="1:14" ht="27" x14ac:dyDescent="0.3">
      <c r="A285" s="4">
        <v>1281</v>
      </c>
      <c r="B285" s="4" t="s">
        <v>177</v>
      </c>
      <c r="C285" s="4" t="s">
        <v>178</v>
      </c>
      <c r="D285" s="6" t="s">
        <v>430</v>
      </c>
      <c r="E285" s="4" t="s">
        <v>15</v>
      </c>
      <c r="F285" s="9" t="s">
        <v>16</v>
      </c>
      <c r="G285" s="4">
        <v>282</v>
      </c>
      <c r="H285" s="4">
        <v>34</v>
      </c>
      <c r="I285" s="4" t="s">
        <v>934</v>
      </c>
      <c r="J285" s="4" t="str">
        <f t="shared" si="8"/>
        <v>2107010000</v>
      </c>
      <c r="K285" s="1" t="s">
        <v>12</v>
      </c>
      <c r="L285" s="4" t="s">
        <v>173</v>
      </c>
      <c r="M285" s="8" t="s">
        <v>868</v>
      </c>
      <c r="N285" s="4" t="str">
        <f t="shared" si="9"/>
        <v>('1281','RPT_009', 'LabaTrialBalance3rdSegment', '2107010000 -  Utang Pajak Pemerintah Pusat', 'Liabilitas', 'Liabilitas jangka pendek', '282', '34', 'AND ma.main_account_id IN (2107010000)', 'C', 'Utang pajak', 0, 0),</v>
      </c>
    </row>
    <row r="286" spans="1:14" ht="40.200000000000003" x14ac:dyDescent="0.3">
      <c r="A286" s="4">
        <v>1282</v>
      </c>
      <c r="B286" s="4" t="s">
        <v>177</v>
      </c>
      <c r="C286" s="4" t="s">
        <v>178</v>
      </c>
      <c r="D286" s="7" t="s">
        <v>431</v>
      </c>
      <c r="E286" s="4" t="s">
        <v>15</v>
      </c>
      <c r="F286" s="9" t="s">
        <v>16</v>
      </c>
      <c r="G286" s="4">
        <v>283</v>
      </c>
      <c r="H286" s="4">
        <v>35</v>
      </c>
      <c r="I286" s="4" t="s">
        <v>934</v>
      </c>
      <c r="J286" s="4" t="str">
        <f t="shared" si="8"/>
        <v>2107010001</v>
      </c>
      <c r="K286" s="1" t="s">
        <v>12</v>
      </c>
      <c r="L286" s="4" t="s">
        <v>173</v>
      </c>
      <c r="M286" s="8" t="s">
        <v>868</v>
      </c>
      <c r="N286" s="4" t="str">
        <f t="shared" si="9"/>
        <v>('1282','RPT_009', 'LabaTrialBalance3rdSegment', '2107010001 - Utang Pajak - Pemerintah Pusat - PPN - Pajak Keluaran - Non Wajib Pungut', 'Liabilitas', 'Liabilitas jangka pendek', '283', '35', 'AND ma.main_account_id IN (2107010001)', 'C', 'Utang pajak', 0, 0),</v>
      </c>
    </row>
    <row r="287" spans="1:14" ht="40.200000000000003" x14ac:dyDescent="0.3">
      <c r="A287" s="4">
        <v>1283</v>
      </c>
      <c r="B287" s="4" t="s">
        <v>177</v>
      </c>
      <c r="C287" s="4" t="s">
        <v>178</v>
      </c>
      <c r="D287" s="7" t="s">
        <v>432</v>
      </c>
      <c r="E287" s="4" t="s">
        <v>15</v>
      </c>
      <c r="F287" s="9" t="s">
        <v>16</v>
      </c>
      <c r="G287" s="4">
        <v>284</v>
      </c>
      <c r="H287" s="4">
        <v>36</v>
      </c>
      <c r="I287" s="4" t="s">
        <v>934</v>
      </c>
      <c r="J287" s="4" t="str">
        <f t="shared" si="8"/>
        <v>2107010002</v>
      </c>
      <c r="K287" s="1" t="s">
        <v>12</v>
      </c>
      <c r="L287" s="4" t="s">
        <v>173</v>
      </c>
      <c r="M287" s="8" t="s">
        <v>868</v>
      </c>
      <c r="N287" s="4" t="str">
        <f t="shared" si="9"/>
        <v>('1283','RPT_009', 'LabaTrialBalance3rdSegment', '2107010002 - Utang Pajak - Pemerintah Pusat - PPN - Pajak Keluaran - Wajib Pungut', 'Liabilitas', 'Liabilitas jangka pendek', '284', '36', 'AND ma.main_account_id IN (2107010002)', 'C', 'Utang pajak', 0, 0),</v>
      </c>
    </row>
    <row r="288" spans="1:14" ht="27" x14ac:dyDescent="0.3">
      <c r="A288" s="4">
        <v>1284</v>
      </c>
      <c r="B288" s="4" t="s">
        <v>177</v>
      </c>
      <c r="C288" s="4" t="s">
        <v>178</v>
      </c>
      <c r="D288" s="7" t="s">
        <v>433</v>
      </c>
      <c r="E288" s="4" t="s">
        <v>15</v>
      </c>
      <c r="F288" s="9" t="s">
        <v>16</v>
      </c>
      <c r="G288" s="4">
        <v>285</v>
      </c>
      <c r="H288" s="4">
        <v>37</v>
      </c>
      <c r="I288" s="4" t="s">
        <v>934</v>
      </c>
      <c r="J288" s="4" t="str">
        <f t="shared" si="8"/>
        <v>2107010004</v>
      </c>
      <c r="K288" s="1" t="s">
        <v>12</v>
      </c>
      <c r="L288" s="4" t="s">
        <v>173</v>
      </c>
      <c r="M288" s="8" t="s">
        <v>868</v>
      </c>
      <c r="N288" s="4" t="str">
        <f t="shared" si="9"/>
        <v>('1284','RPT_009', 'LabaTrialBalance3rdSegment', '2107010004 - Utang Pajak - Pemerintah Pusat - PPh 21 - Karyawan', 'Liabilitas', 'Liabilitas jangka pendek', '285', '37', 'AND ma.main_account_id IN (2107010004)', 'C', 'Utang pajak', 0, 0),</v>
      </c>
    </row>
    <row r="289" spans="1:14" ht="27" x14ac:dyDescent="0.3">
      <c r="A289" s="4">
        <v>1285</v>
      </c>
      <c r="B289" s="4" t="s">
        <v>177</v>
      </c>
      <c r="C289" s="4" t="s">
        <v>178</v>
      </c>
      <c r="D289" s="7" t="s">
        <v>434</v>
      </c>
      <c r="E289" s="4" t="s">
        <v>15</v>
      </c>
      <c r="F289" s="9" t="s">
        <v>16</v>
      </c>
      <c r="G289" s="4">
        <v>286</v>
      </c>
      <c r="H289" s="4">
        <v>38</v>
      </c>
      <c r="I289" s="4" t="s">
        <v>934</v>
      </c>
      <c r="J289" s="4" t="str">
        <f t="shared" si="8"/>
        <v>2107010005</v>
      </c>
      <c r="K289" s="1" t="s">
        <v>12</v>
      </c>
      <c r="L289" s="4" t="s">
        <v>173</v>
      </c>
      <c r="M289" s="8" t="s">
        <v>868</v>
      </c>
      <c r="N289" s="4" t="str">
        <f t="shared" si="9"/>
        <v>('1285','RPT_009', 'LabaTrialBalance3rdSegment', '2107010005 - Utang Pajak - Pemerintah Pusat - PPh 21 - Nonkaryawan', 'Liabilitas', 'Liabilitas jangka pendek', '286', '38', 'AND ma.main_account_id IN (2107010005)', 'C', 'Utang pajak', 0, 0),</v>
      </c>
    </row>
    <row r="290" spans="1:14" ht="27" x14ac:dyDescent="0.3">
      <c r="A290" s="4">
        <v>1286</v>
      </c>
      <c r="B290" s="4" t="s">
        <v>177</v>
      </c>
      <c r="C290" s="4" t="s">
        <v>178</v>
      </c>
      <c r="D290" s="7" t="s">
        <v>435</v>
      </c>
      <c r="E290" s="4" t="s">
        <v>15</v>
      </c>
      <c r="F290" s="9" t="s">
        <v>16</v>
      </c>
      <c r="G290" s="4">
        <v>287</v>
      </c>
      <c r="H290" s="4">
        <v>39</v>
      </c>
      <c r="I290" s="4" t="s">
        <v>934</v>
      </c>
      <c r="J290" s="4" t="str">
        <f t="shared" si="8"/>
        <v>2107010006</v>
      </c>
      <c r="K290" s="1" t="s">
        <v>12</v>
      </c>
      <c r="L290" s="4" t="s">
        <v>173</v>
      </c>
      <c r="M290" s="8" t="s">
        <v>868</v>
      </c>
      <c r="N290" s="4" t="str">
        <f t="shared" si="9"/>
        <v>('1286','RPT_009', 'LabaTrialBalance3rdSegment', '2107010006 - Utang Pajak - Pemerintah Pusat - PPh 22', 'Liabilitas', 'Liabilitas jangka pendek', '287', '39', 'AND ma.main_account_id IN (2107010006)', 'C', 'Utang pajak', 0, 0),</v>
      </c>
    </row>
    <row r="291" spans="1:14" ht="27" x14ac:dyDescent="0.3">
      <c r="A291" s="4">
        <v>1287</v>
      </c>
      <c r="B291" s="4" t="s">
        <v>177</v>
      </c>
      <c r="C291" s="4" t="s">
        <v>178</v>
      </c>
      <c r="D291" s="7" t="s">
        <v>436</v>
      </c>
      <c r="E291" s="4" t="s">
        <v>15</v>
      </c>
      <c r="F291" s="9" t="s">
        <v>16</v>
      </c>
      <c r="G291" s="4">
        <v>288</v>
      </c>
      <c r="H291" s="4">
        <v>40</v>
      </c>
      <c r="I291" s="4" t="s">
        <v>934</v>
      </c>
      <c r="J291" s="4" t="str">
        <f t="shared" si="8"/>
        <v>2107010007</v>
      </c>
      <c r="K291" s="1" t="s">
        <v>12</v>
      </c>
      <c r="L291" s="4" t="s">
        <v>173</v>
      </c>
      <c r="M291" s="8" t="s">
        <v>868</v>
      </c>
      <c r="N291" s="4" t="str">
        <f t="shared" si="9"/>
        <v>('1287','RPT_009', 'LabaTrialBalance3rdSegment', '2107010007 - Utang Pajak - Pemerintah Pusat - PPh 23', 'Liabilitas', 'Liabilitas jangka pendek', '288', '40', 'AND ma.main_account_id IN (2107010007)', 'C', 'Utang pajak', 0, 0),</v>
      </c>
    </row>
    <row r="292" spans="1:14" ht="27" x14ac:dyDescent="0.3">
      <c r="A292" s="4">
        <v>1288</v>
      </c>
      <c r="B292" s="4" t="s">
        <v>177</v>
      </c>
      <c r="C292" s="4" t="s">
        <v>178</v>
      </c>
      <c r="D292" s="7" t="s">
        <v>437</v>
      </c>
      <c r="E292" s="4" t="s">
        <v>15</v>
      </c>
      <c r="F292" s="9" t="s">
        <v>16</v>
      </c>
      <c r="G292" s="4">
        <v>289</v>
      </c>
      <c r="H292" s="4">
        <v>41</v>
      </c>
      <c r="I292" s="4" t="s">
        <v>934</v>
      </c>
      <c r="J292" s="4" t="str">
        <f t="shared" si="8"/>
        <v>2107010009</v>
      </c>
      <c r="K292" s="1" t="s">
        <v>12</v>
      </c>
      <c r="L292" s="4" t="s">
        <v>173</v>
      </c>
      <c r="M292" s="8" t="s">
        <v>868</v>
      </c>
      <c r="N292" s="4" t="str">
        <f t="shared" si="9"/>
        <v>('1288','RPT_009', 'LabaTrialBalance3rdSegment', '2107010009 - Utang Pajak - Pemerintah Pusat - PPh 25', 'Liabilitas', 'Liabilitas jangka pendek', '289', '41', 'AND ma.main_account_id IN (2107010009)', 'C', 'Utang pajak', 0, 0),</v>
      </c>
    </row>
    <row r="293" spans="1:14" ht="27" x14ac:dyDescent="0.3">
      <c r="A293" s="4">
        <v>1289</v>
      </c>
      <c r="B293" s="4" t="s">
        <v>177</v>
      </c>
      <c r="C293" s="4" t="s">
        <v>178</v>
      </c>
      <c r="D293" s="7" t="s">
        <v>438</v>
      </c>
      <c r="E293" s="4" t="s">
        <v>15</v>
      </c>
      <c r="F293" s="9" t="s">
        <v>16</v>
      </c>
      <c r="G293" s="4">
        <v>290</v>
      </c>
      <c r="H293" s="4">
        <v>42</v>
      </c>
      <c r="I293" s="4" t="s">
        <v>934</v>
      </c>
      <c r="J293" s="4" t="str">
        <f t="shared" si="8"/>
        <v>2107010010</v>
      </c>
      <c r="K293" s="1" t="s">
        <v>12</v>
      </c>
      <c r="L293" s="4" t="s">
        <v>173</v>
      </c>
      <c r="M293" s="8" t="s">
        <v>868</v>
      </c>
      <c r="N293" s="4" t="str">
        <f t="shared" si="9"/>
        <v>('1289','RPT_009', 'LabaTrialBalance3rdSegment', '2107010010 - Utang Pajak - Pemerintah Pusat - PPh 26', 'Liabilitas', 'Liabilitas jangka pendek', '290', '42', 'AND ma.main_account_id IN (2107010010)', 'C', 'Utang pajak', 0, 0),</v>
      </c>
    </row>
    <row r="294" spans="1:14" ht="27" x14ac:dyDescent="0.3">
      <c r="A294" s="4">
        <v>1290</v>
      </c>
      <c r="B294" s="4" t="s">
        <v>177</v>
      </c>
      <c r="C294" s="4" t="s">
        <v>178</v>
      </c>
      <c r="D294" s="7" t="s">
        <v>439</v>
      </c>
      <c r="E294" s="4" t="s">
        <v>15</v>
      </c>
      <c r="F294" s="9" t="s">
        <v>16</v>
      </c>
      <c r="G294" s="4">
        <v>291</v>
      </c>
      <c r="H294" s="4">
        <v>43</v>
      </c>
      <c r="I294" s="4" t="s">
        <v>934</v>
      </c>
      <c r="J294" s="4" t="str">
        <f t="shared" si="8"/>
        <v>2107010012</v>
      </c>
      <c r="K294" s="1" t="s">
        <v>12</v>
      </c>
      <c r="L294" s="4" t="s">
        <v>173</v>
      </c>
      <c r="M294" s="8" t="s">
        <v>868</v>
      </c>
      <c r="N294" s="4" t="str">
        <f t="shared" si="9"/>
        <v>('1290','RPT_009', 'LabaTrialBalance3rdSegment', '2107010012 - Utang Pajak - Pemerintah Pusat - PPh 4 ayat 2', 'Liabilitas', 'Liabilitas jangka pendek', '291', '43', 'AND ma.main_account_id IN (2107010012)', 'C', 'Utang pajak', 0, 0),</v>
      </c>
    </row>
    <row r="295" spans="1:14" ht="40.200000000000003" x14ac:dyDescent="0.3">
      <c r="A295" s="4">
        <v>1291</v>
      </c>
      <c r="B295" s="4" t="s">
        <v>177</v>
      </c>
      <c r="C295" s="4" t="s">
        <v>178</v>
      </c>
      <c r="D295" s="7" t="s">
        <v>440</v>
      </c>
      <c r="E295" s="4" t="s">
        <v>15</v>
      </c>
      <c r="F295" s="9" t="s">
        <v>16</v>
      </c>
      <c r="G295" s="4">
        <v>292</v>
      </c>
      <c r="H295" s="4">
        <v>44</v>
      </c>
      <c r="I295" s="4" t="s">
        <v>934</v>
      </c>
      <c r="J295" s="4" t="str">
        <f t="shared" si="8"/>
        <v>2107010013</v>
      </c>
      <c r="K295" s="1" t="s">
        <v>12</v>
      </c>
      <c r="L295" s="4" t="s">
        <v>173</v>
      </c>
      <c r="M295" s="8" t="s">
        <v>868</v>
      </c>
      <c r="N295" s="4" t="str">
        <f t="shared" si="9"/>
        <v>('1291','RPT_009', 'LabaTrialBalance3rdSegment', '2107010013 - Utang Pajak - Pemerintah Pusat - PPN masukan yang dapat dikreditkan', 'Liabilitas', 'Liabilitas jangka pendek', '292', '44', 'AND ma.main_account_id IN (2107010013)', 'C', 'Utang pajak', 0, 0),</v>
      </c>
    </row>
    <row r="296" spans="1:14" ht="27" x14ac:dyDescent="0.3">
      <c r="A296" s="4">
        <v>1292</v>
      </c>
      <c r="B296" s="4" t="s">
        <v>177</v>
      </c>
      <c r="C296" s="4" t="s">
        <v>178</v>
      </c>
      <c r="D296" s="6" t="s">
        <v>441</v>
      </c>
      <c r="E296" s="4" t="s">
        <v>15</v>
      </c>
      <c r="F296" s="9" t="s">
        <v>16</v>
      </c>
      <c r="G296" s="4">
        <v>293</v>
      </c>
      <c r="H296" s="4">
        <v>45</v>
      </c>
      <c r="I296" s="4" t="s">
        <v>934</v>
      </c>
      <c r="J296" s="4" t="str">
        <f t="shared" si="8"/>
        <v>2107020000</v>
      </c>
      <c r="K296" s="1" t="s">
        <v>12</v>
      </c>
      <c r="L296" s="4" t="s">
        <v>173</v>
      </c>
      <c r="M296" s="8" t="s">
        <v>868</v>
      </c>
      <c r="N296" s="4" t="str">
        <f t="shared" si="9"/>
        <v>('1292','RPT_009', 'LabaTrialBalance3rdSegment', '2107020000 -  Utang Pajak Pemerintah Daerah', 'Liabilitas', 'Liabilitas jangka pendek', '293', '45', 'AND ma.main_account_id IN (2107020000)', 'C', 'Utang pajak', 0, 0),</v>
      </c>
    </row>
    <row r="297" spans="1:14" ht="27" x14ac:dyDescent="0.3">
      <c r="A297" s="4">
        <v>1293</v>
      </c>
      <c r="B297" s="4" t="s">
        <v>177</v>
      </c>
      <c r="C297" s="4" t="s">
        <v>178</v>
      </c>
      <c r="D297" s="7" t="s">
        <v>442</v>
      </c>
      <c r="E297" s="4" t="s">
        <v>15</v>
      </c>
      <c r="F297" s="9" t="s">
        <v>16</v>
      </c>
      <c r="G297" s="4">
        <v>294</v>
      </c>
      <c r="H297" s="4">
        <v>46</v>
      </c>
      <c r="I297" s="4" t="s">
        <v>934</v>
      </c>
      <c r="J297" s="4" t="str">
        <f t="shared" si="8"/>
        <v>2107020002</v>
      </c>
      <c r="K297" s="1" t="s">
        <v>12</v>
      </c>
      <c r="L297" s="4" t="s">
        <v>173</v>
      </c>
      <c r="M297" s="8" t="s">
        <v>868</v>
      </c>
      <c r="N297" s="4" t="str">
        <f t="shared" si="9"/>
        <v>('1293','RPT_009', 'LabaTrialBalance3rdSegment', '2107020002 - Utang Pajak - Pemerintah Daerah - Hiburan', 'Liabilitas', 'Liabilitas jangka pendek', '294', '46', 'AND ma.main_account_id IN (2107020002)', 'C', 'Utang pajak', 0, 0),</v>
      </c>
    </row>
    <row r="298" spans="1:14" ht="27" x14ac:dyDescent="0.3">
      <c r="A298" s="4">
        <v>1294</v>
      </c>
      <c r="B298" s="4" t="s">
        <v>177</v>
      </c>
      <c r="C298" s="4" t="s">
        <v>178</v>
      </c>
      <c r="D298" s="7" t="s">
        <v>443</v>
      </c>
      <c r="E298" s="4" t="s">
        <v>15</v>
      </c>
      <c r="F298" s="9" t="s">
        <v>16</v>
      </c>
      <c r="G298" s="4">
        <v>295</v>
      </c>
      <c r="H298" s="4">
        <v>47</v>
      </c>
      <c r="I298" s="4" t="s">
        <v>934</v>
      </c>
      <c r="J298" s="4" t="str">
        <f t="shared" si="8"/>
        <v>2107020003</v>
      </c>
      <c r="K298" s="1" t="s">
        <v>12</v>
      </c>
      <c r="L298" s="4" t="s">
        <v>173</v>
      </c>
      <c r="M298" s="8" t="s">
        <v>868</v>
      </c>
      <c r="N298" s="4" t="str">
        <f t="shared" si="9"/>
        <v>('1294','RPT_009', 'LabaTrialBalance3rdSegment', '2107020003 - Utang Pajak - Pemerintah Daerah - Hotel dan Restoran', 'Liabilitas', 'Liabilitas jangka pendek', '295', '47', 'AND ma.main_account_id IN (2107020003)', 'C', 'Utang pajak', 0, 0),</v>
      </c>
    </row>
    <row r="299" spans="1:14" ht="31.2" x14ac:dyDescent="0.3">
      <c r="A299" s="4">
        <v>1295</v>
      </c>
      <c r="B299" s="4" t="s">
        <v>177</v>
      </c>
      <c r="C299" s="4" t="s">
        <v>178</v>
      </c>
      <c r="D299" s="5" t="s">
        <v>141</v>
      </c>
      <c r="E299" s="4" t="s">
        <v>15</v>
      </c>
      <c r="F299" s="9" t="s">
        <v>16</v>
      </c>
      <c r="G299" s="4">
        <v>296</v>
      </c>
      <c r="H299" s="4">
        <v>48</v>
      </c>
      <c r="I299" s="4" t="s">
        <v>934</v>
      </c>
      <c r="J299" s="4" t="str">
        <f t="shared" si="8"/>
        <v>2110000000</v>
      </c>
      <c r="K299" s="1" t="s">
        <v>12</v>
      </c>
      <c r="L299" s="4" t="s">
        <v>173</v>
      </c>
      <c r="M299" s="8" t="s">
        <v>869</v>
      </c>
      <c r="N299" s="4" t="str">
        <f t="shared" si="9"/>
        <v>('1295','RPT_009', 'LabaTrialBalance3rdSegment', '2110000000 -  Liabilitas imbalan kerja jangka pendek', 'Liabilitas', 'Liabilitas jangka pendek', '296', '48', 'AND ma.main_account_id IN (2110000000)', 'C', 'Liabilitas imbalan kerja jangka pendek', 0, 0),</v>
      </c>
    </row>
    <row r="300" spans="1:14" ht="31.2" x14ac:dyDescent="0.3">
      <c r="A300" s="4">
        <v>1296</v>
      </c>
      <c r="B300" s="4" t="s">
        <v>177</v>
      </c>
      <c r="C300" s="4" t="s">
        <v>178</v>
      </c>
      <c r="D300" s="6" t="s">
        <v>444</v>
      </c>
      <c r="E300" s="4" t="s">
        <v>15</v>
      </c>
      <c r="F300" s="9" t="s">
        <v>16</v>
      </c>
      <c r="G300" s="4">
        <v>297</v>
      </c>
      <c r="H300" s="4">
        <v>49</v>
      </c>
      <c r="I300" s="4" t="s">
        <v>934</v>
      </c>
      <c r="J300" s="4" t="str">
        <f t="shared" si="8"/>
        <v>2110020000</v>
      </c>
      <c r="K300" s="1" t="s">
        <v>12</v>
      </c>
      <c r="L300" s="4" t="s">
        <v>173</v>
      </c>
      <c r="M300" s="8" t="s">
        <v>869</v>
      </c>
      <c r="N300" s="4" t="str">
        <f t="shared" si="9"/>
        <v>('1296','RPT_009', 'LabaTrialBalance3rdSegment', '2110020000 -  Liabilitas Tantiem dan Insentif Kinerja', 'Liabilitas', 'Liabilitas jangka pendek', '297', '49', 'AND ma.main_account_id IN (2110020000)', 'C', 'Liabilitas imbalan kerja jangka pendek', 0, 0),</v>
      </c>
    </row>
    <row r="301" spans="1:14" ht="31.2" x14ac:dyDescent="0.3">
      <c r="A301" s="4">
        <v>1297</v>
      </c>
      <c r="B301" s="4" t="s">
        <v>177</v>
      </c>
      <c r="C301" s="4" t="s">
        <v>178</v>
      </c>
      <c r="D301" s="7" t="s">
        <v>445</v>
      </c>
      <c r="E301" s="4" t="s">
        <v>15</v>
      </c>
      <c r="F301" s="9" t="s">
        <v>16</v>
      </c>
      <c r="G301" s="4">
        <v>298</v>
      </c>
      <c r="H301" s="4">
        <v>50</v>
      </c>
      <c r="I301" s="4" t="s">
        <v>934</v>
      </c>
      <c r="J301" s="4" t="str">
        <f t="shared" si="8"/>
        <v>2110020001</v>
      </c>
      <c r="K301" s="1" t="s">
        <v>12</v>
      </c>
      <c r="L301" s="4" t="s">
        <v>173</v>
      </c>
      <c r="M301" s="8" t="s">
        <v>869</v>
      </c>
      <c r="N301" s="4" t="str">
        <f t="shared" si="9"/>
        <v>('1297','RPT_009', 'LabaTrialBalance3rdSegment', '2110020001 - Liabilitas imbalan kerja - Akrual Insentif Kinerja', 'Liabilitas', 'Liabilitas jangka pendek', '298', '50', 'AND ma.main_account_id IN (2110020001)', 'C', 'Liabilitas imbalan kerja jangka pendek', 0, 0),</v>
      </c>
    </row>
    <row r="302" spans="1:14" ht="46.8" x14ac:dyDescent="0.3">
      <c r="A302" s="4">
        <v>1298</v>
      </c>
      <c r="B302" s="4" t="s">
        <v>177</v>
      </c>
      <c r="C302" s="4" t="s">
        <v>178</v>
      </c>
      <c r="D302" s="5" t="s">
        <v>142</v>
      </c>
      <c r="E302" s="4" t="s">
        <v>15</v>
      </c>
      <c r="F302" s="9" t="s">
        <v>16</v>
      </c>
      <c r="G302" s="4">
        <v>299</v>
      </c>
      <c r="H302" s="4">
        <v>51</v>
      </c>
      <c r="I302" s="4" t="s">
        <v>934</v>
      </c>
      <c r="J302" s="4" t="str">
        <f t="shared" si="8"/>
        <v>2113000000</v>
      </c>
      <c r="K302" s="1" t="s">
        <v>12</v>
      </c>
      <c r="L302" s="4" t="s">
        <v>173</v>
      </c>
      <c r="M302" s="8" t="s">
        <v>870</v>
      </c>
      <c r="N302" s="4" t="str">
        <f t="shared" si="9"/>
        <v>('1298','RPT_009', 'LabaTrialBalance3rdSegment', '2113000000 -  Pinjaman dari pihak berelasi Intragroup InJourney - jangka pendek', 'Liabilitas', 'Liabilitas jangka pendek', '299', '51', 'AND ma.main_account_id IN (2113000000)', 'C', 'Pinjaman dari pihak berelasi Intragroup InJourney - jangka pendek', 0, 0),</v>
      </c>
    </row>
    <row r="303" spans="1:14" ht="46.8" x14ac:dyDescent="0.3">
      <c r="A303" s="4">
        <v>1299</v>
      </c>
      <c r="B303" s="4" t="s">
        <v>177</v>
      </c>
      <c r="C303" s="4" t="s">
        <v>178</v>
      </c>
      <c r="D303" s="6" t="s">
        <v>446</v>
      </c>
      <c r="E303" s="4" t="s">
        <v>15</v>
      </c>
      <c r="F303" s="9" t="s">
        <v>16</v>
      </c>
      <c r="G303" s="4">
        <v>300</v>
      </c>
      <c r="H303" s="4">
        <v>52</v>
      </c>
      <c r="I303" s="4" t="s">
        <v>934</v>
      </c>
      <c r="J303" s="4" t="str">
        <f t="shared" si="8"/>
        <v>2113010000</v>
      </c>
      <c r="K303" s="1" t="s">
        <v>12</v>
      </c>
      <c r="L303" s="4" t="s">
        <v>173</v>
      </c>
      <c r="M303" s="8" t="s">
        <v>870</v>
      </c>
      <c r="N303" s="4" t="str">
        <f t="shared" si="9"/>
        <v>('1299','RPT_009', 'LabaTrialBalance3rdSegment', '2113010000 -  Pinjaman dari pihak berelasi Intragroup InJourney - jangka pendek', 'Liabilitas', 'Liabilitas jangka pendek', '300', '52', 'AND ma.main_account_id IN (2113010000)', 'C', 'Pinjaman dari pihak berelasi Intragroup InJourney - jangka pendek', 0, 0),</v>
      </c>
    </row>
    <row r="304" spans="1:14" ht="46.8" x14ac:dyDescent="0.3">
      <c r="A304" s="4">
        <v>1300</v>
      </c>
      <c r="B304" s="4" t="s">
        <v>177</v>
      </c>
      <c r="C304" s="4" t="s">
        <v>178</v>
      </c>
      <c r="D304" s="7" t="s">
        <v>447</v>
      </c>
      <c r="E304" s="4" t="s">
        <v>15</v>
      </c>
      <c r="F304" s="9" t="s">
        <v>16</v>
      </c>
      <c r="G304" s="4">
        <v>301</v>
      </c>
      <c r="H304" s="4">
        <v>53</v>
      </c>
      <c r="I304" s="4" t="s">
        <v>934</v>
      </c>
      <c r="J304" s="4" t="str">
        <f t="shared" si="8"/>
        <v>2113010001</v>
      </c>
      <c r="K304" s="1" t="s">
        <v>12</v>
      </c>
      <c r="L304" s="4" t="s">
        <v>173</v>
      </c>
      <c r="M304" s="8" t="s">
        <v>870</v>
      </c>
      <c r="N304" s="4" t="str">
        <f t="shared" si="9"/>
        <v>('1300','RPT_009', 'LabaTrialBalance3rdSegment', '2113010001 - Pinjaman dari Pihak Berelasi - Intragroup Injourney - jangka pendek', 'Liabilitas', 'Liabilitas jangka pendek', '301', '53', 'AND ma.main_account_id IN (2113010001)', 'C', 'Pinjaman dari pihak berelasi Intragroup InJourney - jangka pendek', 0, 0),</v>
      </c>
    </row>
    <row r="305" spans="1:14" ht="46.8" x14ac:dyDescent="0.3">
      <c r="A305" s="4">
        <v>1301</v>
      </c>
      <c r="B305" s="4" t="s">
        <v>177</v>
      </c>
      <c r="C305" s="4" t="s">
        <v>178</v>
      </c>
      <c r="D305" s="5" t="s">
        <v>143</v>
      </c>
      <c r="E305" s="4" t="s">
        <v>15</v>
      </c>
      <c r="F305" s="9" t="s">
        <v>16</v>
      </c>
      <c r="G305" s="4">
        <v>302</v>
      </c>
      <c r="H305" s="4">
        <v>54</v>
      </c>
      <c r="I305" s="4" t="s">
        <v>934</v>
      </c>
      <c r="J305" s="4" t="str">
        <f t="shared" si="8"/>
        <v>2114000000</v>
      </c>
      <c r="K305" s="1" t="s">
        <v>12</v>
      </c>
      <c r="L305" s="4" t="s">
        <v>173</v>
      </c>
      <c r="M305" s="8" t="s">
        <v>871</v>
      </c>
      <c r="N305" s="4" t="str">
        <f t="shared" si="9"/>
        <v>('1301','RPT_009', 'LabaTrialBalance3rdSegment', '2114000000 -  Porsi jangka pendek utang bank dan LK non-bank jangka panjang', 'Liabilitas', 'Liabilitas jangka pendek', '302', '54', 'AND ma.main_account_id IN (2114000000)', 'C', 'Porsi jangka pendek utang bank dan LK non-bank jangka panjang', 0, 0),</v>
      </c>
    </row>
    <row r="306" spans="1:14" ht="46.8" x14ac:dyDescent="0.3">
      <c r="A306" s="4">
        <v>1302</v>
      </c>
      <c r="B306" s="4" t="s">
        <v>177</v>
      </c>
      <c r="C306" s="4" t="s">
        <v>178</v>
      </c>
      <c r="D306" s="6" t="s">
        <v>448</v>
      </c>
      <c r="E306" s="4" t="s">
        <v>15</v>
      </c>
      <c r="F306" s="9" t="s">
        <v>16</v>
      </c>
      <c r="G306" s="4">
        <v>303</v>
      </c>
      <c r="H306" s="4">
        <v>55</v>
      </c>
      <c r="I306" s="4" t="s">
        <v>934</v>
      </c>
      <c r="J306" s="4" t="str">
        <f t="shared" si="8"/>
        <v>2114010000</v>
      </c>
      <c r="K306" s="1" t="s">
        <v>12</v>
      </c>
      <c r="L306" s="4" t="s">
        <v>173</v>
      </c>
      <c r="M306" s="8" t="s">
        <v>871</v>
      </c>
      <c r="N306" s="4" t="str">
        <f t="shared" si="9"/>
        <v>('1302','RPT_009', 'LabaTrialBalance3rdSegment', '2114010000 -  Pinjaman bank dan LK non-bank, bagian lancar - pihak berelasi', 'Liabilitas', 'Liabilitas jangka pendek', '303', '55', 'AND ma.main_account_id IN (2114010000)', 'C', 'Porsi jangka pendek utang bank dan LK non-bank jangka panjang', 0, 0),</v>
      </c>
    </row>
    <row r="307" spans="1:14" ht="46.8" x14ac:dyDescent="0.3">
      <c r="A307" s="4">
        <v>1303</v>
      </c>
      <c r="B307" s="4" t="s">
        <v>177</v>
      </c>
      <c r="C307" s="4" t="s">
        <v>178</v>
      </c>
      <c r="D307" s="7" t="s">
        <v>449</v>
      </c>
      <c r="E307" s="4" t="s">
        <v>15</v>
      </c>
      <c r="F307" s="9" t="s">
        <v>16</v>
      </c>
      <c r="G307" s="4">
        <v>304</v>
      </c>
      <c r="H307" s="4">
        <v>56</v>
      </c>
      <c r="I307" s="4" t="s">
        <v>934</v>
      </c>
      <c r="J307" s="4" t="str">
        <f t="shared" si="8"/>
        <v>2114010001</v>
      </c>
      <c r="K307" s="1" t="s">
        <v>12</v>
      </c>
      <c r="L307" s="4" t="s">
        <v>173</v>
      </c>
      <c r="M307" s="8" t="s">
        <v>871</v>
      </c>
      <c r="N307" s="4" t="str">
        <f t="shared" si="9"/>
        <v>('1303','RPT_009', 'LabaTrialBalance3rdSegment', '2114010001 - Pinjaman Bank dan LK Non-Bank - Porsi Jangka Pendek - Pihak berelasi lainnya', 'Liabilitas', 'Liabilitas jangka pendek', '304', '56', 'AND ma.main_account_id IN (2114010001)', 'C', 'Porsi jangka pendek utang bank dan LK non-bank jangka panjang', 0, 0),</v>
      </c>
    </row>
    <row r="308" spans="1:14" ht="31.2" x14ac:dyDescent="0.3">
      <c r="A308" s="4">
        <v>1304</v>
      </c>
      <c r="B308" s="4" t="s">
        <v>177</v>
      </c>
      <c r="C308" s="4" t="s">
        <v>178</v>
      </c>
      <c r="D308" s="5" t="s">
        <v>144</v>
      </c>
      <c r="E308" s="4" t="s">
        <v>15</v>
      </c>
      <c r="F308" s="9" t="s">
        <v>16</v>
      </c>
      <c r="G308" s="4">
        <v>305</v>
      </c>
      <c r="H308" s="4">
        <v>57</v>
      </c>
      <c r="I308" s="4" t="s">
        <v>934</v>
      </c>
      <c r="J308" s="4" t="str">
        <f t="shared" si="8"/>
        <v>2116000000</v>
      </c>
      <c r="K308" s="1" t="s">
        <v>12</v>
      </c>
      <c r="L308" s="4" t="s">
        <v>173</v>
      </c>
      <c r="M308" s="8" t="s">
        <v>872</v>
      </c>
      <c r="N308" s="4" t="str">
        <f t="shared" si="9"/>
        <v>('1304','RPT_009', 'LabaTrialBalance3rdSegment', '2116000000 -  Porsi jangka pendek liabilitas sewa', 'Liabilitas', 'Liabilitas jangka pendek', '305', '57', 'AND ma.main_account_id IN (2116000000)', 'C', 'Porsi jangka pendek liabilitas sewa', 0, 0),</v>
      </c>
    </row>
    <row r="309" spans="1:14" ht="31.2" x14ac:dyDescent="0.3">
      <c r="A309" s="4">
        <v>1305</v>
      </c>
      <c r="B309" s="4" t="s">
        <v>177</v>
      </c>
      <c r="C309" s="4" t="s">
        <v>178</v>
      </c>
      <c r="D309" s="6" t="s">
        <v>450</v>
      </c>
      <c r="E309" s="4" t="s">
        <v>15</v>
      </c>
      <c r="F309" s="9" t="s">
        <v>16</v>
      </c>
      <c r="G309" s="4">
        <v>306</v>
      </c>
      <c r="H309" s="4">
        <v>58</v>
      </c>
      <c r="I309" s="4" t="s">
        <v>934</v>
      </c>
      <c r="J309" s="4" t="str">
        <f t="shared" si="8"/>
        <v>2116020000</v>
      </c>
      <c r="K309" s="1" t="s">
        <v>12</v>
      </c>
      <c r="L309" s="4" t="s">
        <v>173</v>
      </c>
      <c r="M309" s="8" t="s">
        <v>872</v>
      </c>
      <c r="N309" s="4" t="str">
        <f t="shared" si="9"/>
        <v>('1305','RPT_009', 'LabaTrialBalance3rdSegment', '2116020000 -  Liabilitas sewa, bagian lancar - pihak berelasi lainnya', 'Liabilitas', 'Liabilitas jangka pendek', '306', '58', 'AND ma.main_account_id IN (2116020000)', 'C', 'Porsi jangka pendek liabilitas sewa', 0, 0),</v>
      </c>
    </row>
    <row r="310" spans="1:14" ht="40.200000000000003" x14ac:dyDescent="0.3">
      <c r="A310" s="4">
        <v>1306</v>
      </c>
      <c r="B310" s="4" t="s">
        <v>177</v>
      </c>
      <c r="C310" s="4" t="s">
        <v>178</v>
      </c>
      <c r="D310" s="7" t="s">
        <v>451</v>
      </c>
      <c r="E310" s="4" t="s">
        <v>15</v>
      </c>
      <c r="F310" s="9" t="s">
        <v>16</v>
      </c>
      <c r="G310" s="4">
        <v>307</v>
      </c>
      <c r="H310" s="4">
        <v>59</v>
      </c>
      <c r="I310" s="4" t="s">
        <v>934</v>
      </c>
      <c r="J310" s="4" t="str">
        <f t="shared" si="8"/>
        <v>2116020004</v>
      </c>
      <c r="K310" s="1" t="s">
        <v>12</v>
      </c>
      <c r="L310" s="4" t="s">
        <v>173</v>
      </c>
      <c r="M310" s="8" t="s">
        <v>872</v>
      </c>
      <c r="N310" s="4" t="str">
        <f t="shared" si="9"/>
        <v>('1306','RPT_009', 'LabaTrialBalance3rdSegment', '2116020004 - Liabilitas sewa - Porsi Jangka Pendek - Bangunan Gedung - Pihak berelasi lainnya', 'Liabilitas', 'Liabilitas jangka pendek', '307', '59', 'AND ma.main_account_id IN (2116020004)', 'C', 'Porsi jangka pendek liabilitas sewa', 0, 0),</v>
      </c>
    </row>
    <row r="311" spans="1:14" ht="31.2" x14ac:dyDescent="0.3">
      <c r="A311" s="4">
        <v>1307</v>
      </c>
      <c r="B311" s="4" t="s">
        <v>177</v>
      </c>
      <c r="C311" s="4" t="s">
        <v>178</v>
      </c>
      <c r="D311" s="6" t="s">
        <v>452</v>
      </c>
      <c r="E311" s="4" t="s">
        <v>15</v>
      </c>
      <c r="F311" s="9" t="s">
        <v>16</v>
      </c>
      <c r="G311" s="4">
        <v>308</v>
      </c>
      <c r="H311" s="4">
        <v>60</v>
      </c>
      <c r="I311" s="4" t="s">
        <v>934</v>
      </c>
      <c r="J311" s="4" t="str">
        <f t="shared" si="8"/>
        <v>2116030000</v>
      </c>
      <c r="K311" s="1" t="s">
        <v>12</v>
      </c>
      <c r="L311" s="4" t="s">
        <v>173</v>
      </c>
      <c r="M311" s="8" t="s">
        <v>872</v>
      </c>
      <c r="N311" s="4" t="str">
        <f t="shared" si="9"/>
        <v>('1307','RPT_009', 'LabaTrialBalance3rdSegment', '2116030000 -  Liabilitas sewa, bagian lancar - pihak ketiga', 'Liabilitas', 'Liabilitas jangka pendek', '308', '60', 'AND ma.main_account_id IN (2116030000)', 'C', 'Porsi jangka pendek liabilitas sewa', 0, 0),</v>
      </c>
    </row>
    <row r="312" spans="1:14" ht="31.2" x14ac:dyDescent="0.3">
      <c r="A312" s="4">
        <v>1308</v>
      </c>
      <c r="B312" s="4" t="s">
        <v>177</v>
      </c>
      <c r="C312" s="4" t="s">
        <v>178</v>
      </c>
      <c r="D312" s="7" t="s">
        <v>453</v>
      </c>
      <c r="E312" s="4" t="s">
        <v>15</v>
      </c>
      <c r="F312" s="9" t="s">
        <v>16</v>
      </c>
      <c r="G312" s="4">
        <v>309</v>
      </c>
      <c r="H312" s="4">
        <v>61</v>
      </c>
      <c r="I312" s="4" t="s">
        <v>934</v>
      </c>
      <c r="J312" s="4" t="str">
        <f t="shared" si="8"/>
        <v>2116030001</v>
      </c>
      <c r="K312" s="1" t="s">
        <v>12</v>
      </c>
      <c r="L312" s="4" t="s">
        <v>173</v>
      </c>
      <c r="M312" s="8" t="s">
        <v>872</v>
      </c>
      <c r="N312" s="4" t="str">
        <f t="shared" si="9"/>
        <v>('1308','RPT_009', 'LabaTrialBalance3rdSegment', '2116030001 - Liabilitas sewa - Porsi Jangka Pendek - Tanah - Pihak ketiga', 'Liabilitas', 'Liabilitas jangka pendek', '309', '61', 'AND ma.main_account_id IN (2116030001)', 'C', 'Porsi jangka pendek liabilitas sewa', 0, 0),</v>
      </c>
    </row>
    <row r="313" spans="1:14" ht="31.2" x14ac:dyDescent="0.3">
      <c r="A313" s="4">
        <v>1309</v>
      </c>
      <c r="B313" s="4" t="s">
        <v>177</v>
      </c>
      <c r="C313" s="4" t="s">
        <v>178</v>
      </c>
      <c r="D313" s="5" t="s">
        <v>145</v>
      </c>
      <c r="E313" s="4" t="s">
        <v>15</v>
      </c>
      <c r="F313" s="9" t="s">
        <v>16</v>
      </c>
      <c r="G313" s="4">
        <v>310</v>
      </c>
      <c r="H313" s="4">
        <v>62</v>
      </c>
      <c r="I313" s="4" t="s">
        <v>934</v>
      </c>
      <c r="J313" s="4" t="str">
        <f t="shared" si="8"/>
        <v>2199000000</v>
      </c>
      <c r="K313" s="1" t="s">
        <v>12</v>
      </c>
      <c r="L313" s="4" t="s">
        <v>173</v>
      </c>
      <c r="M313" s="8" t="s">
        <v>873</v>
      </c>
      <c r="N313" s="4" t="str">
        <f t="shared" si="9"/>
        <v>('1309','RPT_009', 'LabaTrialBalance3rdSegment', '2199000000 -  Liabilitas jangka pendek lainnya', 'Liabilitas', 'Liabilitas jangka pendek', '310', '62', 'AND ma.main_account_id IN (2199000000)', 'C', 'Liabilitas jangka pendek lainnya', 0, 0),</v>
      </c>
    </row>
    <row r="314" spans="1:14" ht="31.2" x14ac:dyDescent="0.3">
      <c r="A314" s="4">
        <v>1310</v>
      </c>
      <c r="B314" s="4" t="s">
        <v>177</v>
      </c>
      <c r="C314" s="4" t="s">
        <v>178</v>
      </c>
      <c r="D314" s="6" t="s">
        <v>454</v>
      </c>
      <c r="E314" s="4" t="s">
        <v>15</v>
      </c>
      <c r="F314" s="9" t="s">
        <v>16</v>
      </c>
      <c r="G314" s="4">
        <v>311</v>
      </c>
      <c r="H314" s="4">
        <v>63</v>
      </c>
      <c r="I314" s="4" t="s">
        <v>934</v>
      </c>
      <c r="J314" s="4" t="str">
        <f t="shared" si="8"/>
        <v>2199030000</v>
      </c>
      <c r="K314" s="1" t="s">
        <v>12</v>
      </c>
      <c r="L314" s="4" t="s">
        <v>173</v>
      </c>
      <c r="M314" s="8" t="s">
        <v>873</v>
      </c>
      <c r="N314" s="4" t="str">
        <f t="shared" si="9"/>
        <v>('1310','RPT_009', 'LabaTrialBalance3rdSegment', '2199030000 -  Utang jaminan pelanggan - pihak ketiga', 'Liabilitas', 'Liabilitas jangka pendek', '311', '63', 'AND ma.main_account_id IN (2199030000)', 'C', 'Liabilitas jangka pendek lainnya', 0, 0),</v>
      </c>
    </row>
    <row r="315" spans="1:14" ht="31.2" x14ac:dyDescent="0.3">
      <c r="A315" s="4">
        <v>1311</v>
      </c>
      <c r="B315" s="4" t="s">
        <v>177</v>
      </c>
      <c r="C315" s="4" t="s">
        <v>178</v>
      </c>
      <c r="D315" s="7" t="s">
        <v>455</v>
      </c>
      <c r="E315" s="4" t="s">
        <v>15</v>
      </c>
      <c r="F315" s="9" t="s">
        <v>16</v>
      </c>
      <c r="G315" s="4">
        <v>312</v>
      </c>
      <c r="H315" s="4">
        <v>64</v>
      </c>
      <c r="I315" s="4" t="s">
        <v>934</v>
      </c>
      <c r="J315" s="4" t="str">
        <f t="shared" si="8"/>
        <v>2199030001</v>
      </c>
      <c r="K315" s="1" t="s">
        <v>12</v>
      </c>
      <c r="L315" s="4" t="s">
        <v>173</v>
      </c>
      <c r="M315" s="8" t="s">
        <v>873</v>
      </c>
      <c r="N315" s="4" t="str">
        <f t="shared" si="9"/>
        <v>('1311','RPT_009', 'LabaTrialBalance3rdSegment', '2199030001 - Utang Jaminan Pelanggan - Pihak ketiga', 'Liabilitas', 'Liabilitas jangka pendek', '312', '64', 'AND ma.main_account_id IN (2199030001)', 'C', 'Liabilitas jangka pendek lainnya', 0, 0),</v>
      </c>
    </row>
    <row r="316" spans="1:14" ht="31.2" x14ac:dyDescent="0.3">
      <c r="A316" s="4">
        <v>1312</v>
      </c>
      <c r="B316" s="4" t="s">
        <v>177</v>
      </c>
      <c r="C316" s="4" t="s">
        <v>178</v>
      </c>
      <c r="D316" s="6" t="s">
        <v>456</v>
      </c>
      <c r="E316" s="4" t="s">
        <v>15</v>
      </c>
      <c r="F316" s="9" t="s">
        <v>16</v>
      </c>
      <c r="G316" s="4">
        <v>313</v>
      </c>
      <c r="H316" s="4">
        <v>65</v>
      </c>
      <c r="I316" s="4" t="s">
        <v>934</v>
      </c>
      <c r="J316" s="4" t="str">
        <f t="shared" si="8"/>
        <v>2199990000</v>
      </c>
      <c r="K316" s="1" t="s">
        <v>12</v>
      </c>
      <c r="L316" s="4" t="s">
        <v>173</v>
      </c>
      <c r="M316" s="8" t="s">
        <v>873</v>
      </c>
      <c r="N316" s="4" t="str">
        <f t="shared" si="9"/>
        <v>('1312','RPT_009', 'LabaTrialBalance3rdSegment', '2199990000 -  Lain-lain', 'Liabilitas', 'Liabilitas jangka pendek', '313', '65', 'AND ma.main_account_id IN (2199990000)', 'C', 'Liabilitas jangka pendek lainnya', 0, 0),</v>
      </c>
    </row>
    <row r="317" spans="1:14" ht="31.2" x14ac:dyDescent="0.3">
      <c r="A317" s="4">
        <v>1313</v>
      </c>
      <c r="B317" s="4" t="s">
        <v>177</v>
      </c>
      <c r="C317" s="4" t="s">
        <v>178</v>
      </c>
      <c r="D317" s="7" t="s">
        <v>457</v>
      </c>
      <c r="E317" s="4" t="s">
        <v>15</v>
      </c>
      <c r="F317" s="9" t="s">
        <v>16</v>
      </c>
      <c r="G317" s="4">
        <v>314</v>
      </c>
      <c r="H317" s="4">
        <v>66</v>
      </c>
      <c r="I317" s="4" t="s">
        <v>934</v>
      </c>
      <c r="J317" s="4" t="str">
        <f t="shared" si="8"/>
        <v>2199990099</v>
      </c>
      <c r="K317" s="1" t="s">
        <v>12</v>
      </c>
      <c r="L317" s="4" t="s">
        <v>173</v>
      </c>
      <c r="M317" s="8" t="s">
        <v>873</v>
      </c>
      <c r="N317" s="4" t="str">
        <f t="shared" si="9"/>
        <v>('1313','RPT_009', 'LabaTrialBalance3rdSegment', '2199990099 - Liabilitas jangka pendek lainnya - Transaksi internal', 'Liabilitas', 'Liabilitas jangka pendek', '314', '66', 'AND ma.main_account_id IN (2199990099)', 'C', 'Liabilitas jangka pendek lainnya', 0, 0),</v>
      </c>
    </row>
    <row r="318" spans="1:14" x14ac:dyDescent="0.3">
      <c r="A318" s="4">
        <v>1314</v>
      </c>
      <c r="B318" s="4" t="s">
        <v>177</v>
      </c>
      <c r="C318" s="4" t="s">
        <v>178</v>
      </c>
      <c r="D318" s="3" t="s">
        <v>146</v>
      </c>
      <c r="E318" s="4" t="s">
        <v>15</v>
      </c>
      <c r="F318" s="9" t="s">
        <v>17</v>
      </c>
      <c r="G318" s="4">
        <v>315</v>
      </c>
      <c r="H318" s="4">
        <v>67</v>
      </c>
      <c r="I318" s="4" t="s">
        <v>934</v>
      </c>
      <c r="J318" s="4" t="str">
        <f t="shared" si="8"/>
        <v>2200000000</v>
      </c>
      <c r="K318" s="1" t="s">
        <v>12</v>
      </c>
      <c r="L318" s="4" t="s">
        <v>173</v>
      </c>
      <c r="M318" s="8" t="s">
        <v>932</v>
      </c>
      <c r="N318" s="4" t="str">
        <f t="shared" si="9"/>
        <v>('1314','RPT_009', 'LabaTrialBalance3rdSegment', '2200000000 - Liabilitas jangka panjang', 'Liabilitas', 'Liabilitas jangka panjang', '315', '67', 'AND ma.main_account_id IN (2200000000)', 'C', ' Liabilitas jangka panjang', 0, 0),</v>
      </c>
    </row>
    <row r="319" spans="1:14" ht="31.2" x14ac:dyDescent="0.3">
      <c r="A319" s="4">
        <v>1315</v>
      </c>
      <c r="B319" s="4" t="s">
        <v>177</v>
      </c>
      <c r="C319" s="4" t="s">
        <v>178</v>
      </c>
      <c r="D319" s="5" t="s">
        <v>147</v>
      </c>
      <c r="E319" s="4" t="s">
        <v>15</v>
      </c>
      <c r="F319" s="9" t="s">
        <v>17</v>
      </c>
      <c r="G319" s="4">
        <v>316</v>
      </c>
      <c r="H319" s="4">
        <v>68</v>
      </c>
      <c r="I319" s="4" t="s">
        <v>934</v>
      </c>
      <c r="J319" s="4" t="str">
        <f t="shared" si="8"/>
        <v>2203000000</v>
      </c>
      <c r="K319" s="1" t="s">
        <v>12</v>
      </c>
      <c r="L319" s="4" t="s">
        <v>173</v>
      </c>
      <c r="M319" s="8" t="s">
        <v>874</v>
      </c>
      <c r="N319" s="4" t="str">
        <f t="shared" si="9"/>
        <v>('1315','RPT_009', 'LabaTrialBalance3rdSegment', '2203000000 -  Pendapatan Diterima Dimuka Jangka Panjang', 'Liabilitas', 'Liabilitas jangka panjang', '316', '68', 'AND ma.main_account_id IN (2203000000)', 'C', 'Pendapatan Diterima Dimuka Jangka Panjang', 0, 0),</v>
      </c>
    </row>
    <row r="320" spans="1:14" ht="31.2" x14ac:dyDescent="0.3">
      <c r="A320" s="4">
        <v>1316</v>
      </c>
      <c r="B320" s="4" t="s">
        <v>177</v>
      </c>
      <c r="C320" s="4" t="s">
        <v>178</v>
      </c>
      <c r="D320" s="6" t="s">
        <v>458</v>
      </c>
      <c r="E320" s="4" t="s">
        <v>15</v>
      </c>
      <c r="F320" s="9" t="s">
        <v>17</v>
      </c>
      <c r="G320" s="4">
        <v>317</v>
      </c>
      <c r="H320" s="4">
        <v>69</v>
      </c>
      <c r="I320" s="4" t="s">
        <v>934</v>
      </c>
      <c r="J320" s="4" t="str">
        <f t="shared" si="8"/>
        <v>2203030000</v>
      </c>
      <c r="K320" s="1" t="s">
        <v>12</v>
      </c>
      <c r="L320" s="4" t="s">
        <v>173</v>
      </c>
      <c r="M320" s="8" t="s">
        <v>874</v>
      </c>
      <c r="N320" s="4" t="str">
        <f t="shared" si="9"/>
        <v>('1316','RPT_009', 'LabaTrialBalance3rdSegment', '2203030000 -  Pendapatan Diterima Dimuka - Pihak Ketiga', 'Liabilitas', 'Liabilitas jangka panjang', '317', '69', 'AND ma.main_account_id IN (2203030000)', 'C', 'Pendapatan Diterima Dimuka Jangka Panjang', 0, 0),</v>
      </c>
    </row>
    <row r="321" spans="1:14" ht="31.2" x14ac:dyDescent="0.3">
      <c r="A321" s="4">
        <v>1317</v>
      </c>
      <c r="B321" s="4" t="s">
        <v>177</v>
      </c>
      <c r="C321" s="4" t="s">
        <v>178</v>
      </c>
      <c r="D321" s="7" t="s">
        <v>459</v>
      </c>
      <c r="E321" s="4" t="s">
        <v>15</v>
      </c>
      <c r="F321" s="9" t="s">
        <v>17</v>
      </c>
      <c r="G321" s="4">
        <v>318</v>
      </c>
      <c r="H321" s="4">
        <v>70</v>
      </c>
      <c r="I321" s="4" t="s">
        <v>934</v>
      </c>
      <c r="J321" s="4" t="str">
        <f t="shared" si="8"/>
        <v>2203030001</v>
      </c>
      <c r="K321" s="1" t="s">
        <v>12</v>
      </c>
      <c r="L321" s="4" t="s">
        <v>173</v>
      </c>
      <c r="M321" s="8" t="s">
        <v>874</v>
      </c>
      <c r="N321" s="4" t="str">
        <f t="shared" si="9"/>
        <v>('1317','RPT_009', 'LabaTrialBalance3rdSegment', '2203030001 - Pendapatan Diterima Dimuka - Pihak ketiga', 'Liabilitas', 'Liabilitas jangka panjang', '318', '70', 'AND ma.main_account_id IN (2203030001)', 'C', 'Pendapatan Diterima Dimuka Jangka Panjang', 0, 0),</v>
      </c>
    </row>
    <row r="322" spans="1:14" ht="31.2" x14ac:dyDescent="0.3">
      <c r="A322" s="4">
        <v>1318</v>
      </c>
      <c r="B322" s="4" t="s">
        <v>177</v>
      </c>
      <c r="C322" s="4" t="s">
        <v>178</v>
      </c>
      <c r="D322" s="5" t="s">
        <v>148</v>
      </c>
      <c r="E322" s="4" t="s">
        <v>15</v>
      </c>
      <c r="F322" s="9" t="s">
        <v>17</v>
      </c>
      <c r="G322" s="4">
        <v>319</v>
      </c>
      <c r="H322" s="4">
        <v>71</v>
      </c>
      <c r="I322" s="4" t="s">
        <v>934</v>
      </c>
      <c r="J322" s="4" t="str">
        <f>_xlfn.TEXTBEFORE(D322," -")</f>
        <v>2204000000</v>
      </c>
      <c r="K322" s="1" t="s">
        <v>12</v>
      </c>
      <c r="L322" s="4" t="s">
        <v>173</v>
      </c>
      <c r="M322" s="8" t="s">
        <v>875</v>
      </c>
      <c r="N322" s="4" t="str">
        <f t="shared" si="9"/>
        <v>('1318','RPT_009', 'LabaTrialBalance3rdSegment', '2204000000 -  Liabilitas imbalan kerja jangka panjang', 'Liabilitas', 'Liabilitas jangka panjang', '319', '71', 'AND ma.main_account_id IN (2204000000)', 'C', 'Liabilitas imbalan kerja jangka panjang', 0, 0),</v>
      </c>
    </row>
    <row r="323" spans="1:14" ht="31.2" x14ac:dyDescent="0.3">
      <c r="A323" s="4">
        <v>1319</v>
      </c>
      <c r="B323" s="4" t="s">
        <v>177</v>
      </c>
      <c r="C323" s="4" t="s">
        <v>178</v>
      </c>
      <c r="D323" s="6" t="s">
        <v>460</v>
      </c>
      <c r="E323" s="4" t="s">
        <v>15</v>
      </c>
      <c r="F323" s="9" t="s">
        <v>17</v>
      </c>
      <c r="G323" s="4">
        <v>320</v>
      </c>
      <c r="H323" s="4">
        <v>72</v>
      </c>
      <c r="I323" s="4" t="s">
        <v>934</v>
      </c>
      <c r="J323" s="4" t="str">
        <f>_xlfn.TEXTBEFORE(D323," -")</f>
        <v>2204010000</v>
      </c>
      <c r="K323" s="1" t="s">
        <v>12</v>
      </c>
      <c r="L323" s="4" t="s">
        <v>173</v>
      </c>
      <c r="M323" s="8" t="s">
        <v>875</v>
      </c>
      <c r="N323" s="4" t="str">
        <f t="shared" si="9"/>
        <v>('1319','RPT_009', 'LabaTrialBalance3rdSegment', '2204010000 -  Imbalan pascakerja jangka panjang', 'Liabilitas', 'Liabilitas jangka panjang', '320', '72', 'AND ma.main_account_id IN (2204010000)', 'C', 'Liabilitas imbalan kerja jangka panjang', 0, 0),</v>
      </c>
    </row>
    <row r="324" spans="1:14" ht="31.2" x14ac:dyDescent="0.3">
      <c r="A324" s="4">
        <v>1320</v>
      </c>
      <c r="B324" s="4" t="s">
        <v>177</v>
      </c>
      <c r="C324" s="4" t="s">
        <v>178</v>
      </c>
      <c r="D324" s="7" t="s">
        <v>461</v>
      </c>
      <c r="E324" s="4" t="s">
        <v>15</v>
      </c>
      <c r="F324" s="9" t="s">
        <v>17</v>
      </c>
      <c r="G324" s="4">
        <v>321</v>
      </c>
      <c r="H324" s="4">
        <v>73</v>
      </c>
      <c r="I324" s="4" t="s">
        <v>934</v>
      </c>
      <c r="J324" s="4" t="str">
        <f t="shared" ref="J324:J387" si="10">_xlfn.TEXTBEFORE(D324," -")</f>
        <v>2204010003</v>
      </c>
      <c r="K324" s="1" t="s">
        <v>12</v>
      </c>
      <c r="L324" s="4" t="s">
        <v>173</v>
      </c>
      <c r="M324" s="8" t="s">
        <v>875</v>
      </c>
      <c r="N324" s="4" t="str">
        <f t="shared" si="9"/>
        <v>('1320','RPT_009', 'LabaTrialBalance3rdSegment', '2204010003 - Imbalan program pensiun jangka panjang', 'Liabilitas', 'Liabilitas jangka panjang', '321', '73', 'AND ma.main_account_id IN (2204010003)', 'C', 'Liabilitas imbalan kerja jangka panjang', 0, 0),</v>
      </c>
    </row>
    <row r="325" spans="1:14" ht="46.8" x14ac:dyDescent="0.3">
      <c r="A325" s="4">
        <v>1321</v>
      </c>
      <c r="B325" s="4" t="s">
        <v>177</v>
      </c>
      <c r="C325" s="4" t="s">
        <v>178</v>
      </c>
      <c r="D325" s="5" t="s">
        <v>149</v>
      </c>
      <c r="E325" s="4" t="s">
        <v>15</v>
      </c>
      <c r="F325" s="9" t="s">
        <v>17</v>
      </c>
      <c r="G325" s="4">
        <v>322</v>
      </c>
      <c r="H325" s="4">
        <v>74</v>
      </c>
      <c r="I325" s="4" t="s">
        <v>934</v>
      </c>
      <c r="J325" s="4" t="str">
        <f t="shared" si="10"/>
        <v>2207000000</v>
      </c>
      <c r="K325" s="1" t="s">
        <v>12</v>
      </c>
      <c r="L325" s="4" t="s">
        <v>173</v>
      </c>
      <c r="M325" s="8" t="s">
        <v>876</v>
      </c>
      <c r="N325" s="4" t="str">
        <f t="shared" ref="N325:N388" si="11">"('"&amp;A325&amp;"','"&amp;B325&amp;"', '"&amp;C325&amp;"', '"&amp;D325&amp;"', '"&amp;E325&amp;"', '"&amp;F325&amp;"', '"&amp;G325&amp;"', '"&amp;H325&amp;"', '"&amp;I325&amp;J325&amp;K325&amp;"', '"&amp;L325&amp;"', '"&amp;M325&amp;"', 0, 0),"</f>
        <v>('1321','RPT_009', 'LabaTrialBalance3rdSegment', '2207000000 -  Porsi jangka panjang - utang bank dan LK non-bank jangka panjang', 'Liabilitas', 'Liabilitas jangka panjang', '322', '74', 'AND ma.main_account_id IN (2207000000)', 'C', 'Porsi jangka panjang - utang bank dan LK non-bank jangka panjang', 0, 0),</v>
      </c>
    </row>
    <row r="326" spans="1:14" ht="46.8" x14ac:dyDescent="0.3">
      <c r="A326" s="4">
        <v>1322</v>
      </c>
      <c r="B326" s="4" t="s">
        <v>177</v>
      </c>
      <c r="C326" s="4" t="s">
        <v>178</v>
      </c>
      <c r="D326" s="6" t="s">
        <v>462</v>
      </c>
      <c r="E326" s="4" t="s">
        <v>15</v>
      </c>
      <c r="F326" s="9" t="s">
        <v>17</v>
      </c>
      <c r="G326" s="4">
        <v>323</v>
      </c>
      <c r="H326" s="4">
        <v>75</v>
      </c>
      <c r="I326" s="4" t="s">
        <v>934</v>
      </c>
      <c r="J326" s="4" t="str">
        <f t="shared" si="10"/>
        <v>2207010000</v>
      </c>
      <c r="K326" s="1" t="s">
        <v>12</v>
      </c>
      <c r="L326" s="4" t="s">
        <v>173</v>
      </c>
      <c r="M326" s="8" t="s">
        <v>876</v>
      </c>
      <c r="N326" s="4" t="str">
        <f t="shared" si="11"/>
        <v>('1322','RPT_009', 'LabaTrialBalance3rdSegment', '2207010000 -  Pinjaman bank dan LK non-bank - pihak berelasi', 'Liabilitas', 'Liabilitas jangka panjang', '323', '75', 'AND ma.main_account_id IN (2207010000)', 'C', 'Porsi jangka panjang - utang bank dan LK non-bank jangka panjang', 0, 0),</v>
      </c>
    </row>
    <row r="327" spans="1:14" ht="46.8" x14ac:dyDescent="0.3">
      <c r="A327" s="4">
        <v>1323</v>
      </c>
      <c r="B327" s="4" t="s">
        <v>177</v>
      </c>
      <c r="C327" s="4" t="s">
        <v>178</v>
      </c>
      <c r="D327" s="7" t="s">
        <v>463</v>
      </c>
      <c r="E327" s="4" t="s">
        <v>15</v>
      </c>
      <c r="F327" s="9" t="s">
        <v>17</v>
      </c>
      <c r="G327" s="4">
        <v>324</v>
      </c>
      <c r="H327" s="4">
        <v>76</v>
      </c>
      <c r="I327" s="4" t="s">
        <v>934</v>
      </c>
      <c r="J327" s="4" t="str">
        <f t="shared" si="10"/>
        <v>2207010001</v>
      </c>
      <c r="K327" s="1" t="s">
        <v>12</v>
      </c>
      <c r="L327" s="4" t="s">
        <v>173</v>
      </c>
      <c r="M327" s="8" t="s">
        <v>876</v>
      </c>
      <c r="N327" s="4" t="str">
        <f t="shared" si="11"/>
        <v>('1323','RPT_009', 'LabaTrialBalance3rdSegment', '2207010001 - Pinjaman bank dan LK non bank - Porsi Jangka Panjang - Pihak berelasi lainnya', 'Liabilitas', 'Liabilitas jangka panjang', '324', '76', 'AND ma.main_account_id IN (2207010001)', 'C', 'Porsi jangka panjang - utang bank dan LK non-bank jangka panjang', 0, 0),</v>
      </c>
    </row>
    <row r="328" spans="1:14" ht="46.8" x14ac:dyDescent="0.3">
      <c r="A328" s="4">
        <v>1324</v>
      </c>
      <c r="B328" s="4" t="s">
        <v>177</v>
      </c>
      <c r="C328" s="4" t="s">
        <v>178</v>
      </c>
      <c r="D328" s="6" t="s">
        <v>464</v>
      </c>
      <c r="E328" s="4" t="s">
        <v>15</v>
      </c>
      <c r="F328" s="9" t="s">
        <v>17</v>
      </c>
      <c r="G328" s="4">
        <v>325</v>
      </c>
      <c r="H328" s="4">
        <v>77</v>
      </c>
      <c r="I328" s="4" t="s">
        <v>934</v>
      </c>
      <c r="J328" s="4" t="str">
        <f t="shared" si="10"/>
        <v>2207020000</v>
      </c>
      <c r="K328" s="1" t="s">
        <v>12</v>
      </c>
      <c r="L328" s="4" t="s">
        <v>173</v>
      </c>
      <c r="M328" s="8" t="s">
        <v>876</v>
      </c>
      <c r="N328" s="4" t="str">
        <f t="shared" si="11"/>
        <v>('1324','RPT_009', 'LabaTrialBalance3rdSegment', '2207020000 -  Pinjaman bank dan LK non-bank - pihak ketiga', 'Liabilitas', 'Liabilitas jangka panjang', '325', '77', 'AND ma.main_account_id IN (2207020000)', 'C', 'Porsi jangka panjang - utang bank dan LK non-bank jangka panjang', 0, 0),</v>
      </c>
    </row>
    <row r="329" spans="1:14" ht="46.8" x14ac:dyDescent="0.3">
      <c r="A329" s="4">
        <v>1325</v>
      </c>
      <c r="B329" s="4" t="s">
        <v>177</v>
      </c>
      <c r="C329" s="4" t="s">
        <v>178</v>
      </c>
      <c r="D329" s="7" t="s">
        <v>465</v>
      </c>
      <c r="E329" s="4" t="s">
        <v>15</v>
      </c>
      <c r="F329" s="9" t="s">
        <v>17</v>
      </c>
      <c r="G329" s="4">
        <v>326</v>
      </c>
      <c r="H329" s="4">
        <v>78</v>
      </c>
      <c r="I329" s="4" t="s">
        <v>934</v>
      </c>
      <c r="J329" s="4" t="str">
        <f t="shared" si="10"/>
        <v>2207020001</v>
      </c>
      <c r="K329" s="1" t="s">
        <v>12</v>
      </c>
      <c r="L329" s="4" t="s">
        <v>173</v>
      </c>
      <c r="M329" s="8" t="s">
        <v>876</v>
      </c>
      <c r="N329" s="4" t="str">
        <f t="shared" si="11"/>
        <v>('1325','RPT_009', 'LabaTrialBalance3rdSegment', '2207020001 - Pinjaman bank dan LK non-bank - Porsi Jangka Panjang - Pihak ketiga', 'Liabilitas', 'Liabilitas jangka panjang', '326', '78', 'AND ma.main_account_id IN (2207020001)', 'C', 'Porsi jangka panjang - utang bank dan LK non-bank jangka panjang', 0, 0),</v>
      </c>
    </row>
    <row r="330" spans="1:14" ht="31.2" x14ac:dyDescent="0.3">
      <c r="A330" s="4">
        <v>1326</v>
      </c>
      <c r="B330" s="4" t="s">
        <v>177</v>
      </c>
      <c r="C330" s="4" t="s">
        <v>178</v>
      </c>
      <c r="D330" s="5" t="s">
        <v>150</v>
      </c>
      <c r="E330" s="4" t="s">
        <v>15</v>
      </c>
      <c r="F330" s="9" t="s">
        <v>17</v>
      </c>
      <c r="G330" s="4">
        <v>327</v>
      </c>
      <c r="H330" s="4">
        <v>79</v>
      </c>
      <c r="I330" s="4" t="s">
        <v>934</v>
      </c>
      <c r="J330" s="4" t="str">
        <f t="shared" si="10"/>
        <v>2209000000</v>
      </c>
      <c r="K330" s="1" t="s">
        <v>12</v>
      </c>
      <c r="L330" s="4" t="s">
        <v>173</v>
      </c>
      <c r="M330" s="8" t="s">
        <v>877</v>
      </c>
      <c r="N330" s="4" t="str">
        <f t="shared" si="11"/>
        <v>('1326','RPT_009', 'LabaTrialBalance3rdSegment', '2209000000 -  Porsi jangka panjang - liabilitas sewa', 'Liabilitas', 'Liabilitas jangka panjang', '327', '79', 'AND ma.main_account_id IN (2209000000)', 'C', 'Porsi jangka panjang - liabilitas sewa', 0, 0),</v>
      </c>
    </row>
    <row r="331" spans="1:14" ht="31.2" x14ac:dyDescent="0.3">
      <c r="A331" s="4">
        <v>1327</v>
      </c>
      <c r="B331" s="4" t="s">
        <v>177</v>
      </c>
      <c r="C331" s="4" t="s">
        <v>178</v>
      </c>
      <c r="D331" s="6" t="s">
        <v>466</v>
      </c>
      <c r="E331" s="4" t="s">
        <v>15</v>
      </c>
      <c r="F331" s="9" t="s">
        <v>17</v>
      </c>
      <c r="G331" s="4">
        <v>328</v>
      </c>
      <c r="H331" s="4">
        <v>80</v>
      </c>
      <c r="I331" s="4" t="s">
        <v>934</v>
      </c>
      <c r="J331" s="4" t="str">
        <f t="shared" si="10"/>
        <v>2209030000</v>
      </c>
      <c r="K331" s="1" t="s">
        <v>12</v>
      </c>
      <c r="L331" s="4" t="s">
        <v>173</v>
      </c>
      <c r="M331" s="8" t="s">
        <v>877</v>
      </c>
      <c r="N331" s="4" t="str">
        <f t="shared" si="11"/>
        <v>('1327','RPT_009', 'LabaTrialBalance3rdSegment', '2209030000 -  Liabilitas sewa - pihak ketiga', 'Liabilitas', 'Liabilitas jangka panjang', '328', '80', 'AND ma.main_account_id IN (2209030000)', 'C', 'Porsi jangka panjang - liabilitas sewa', 0, 0),</v>
      </c>
    </row>
    <row r="332" spans="1:14" ht="31.2" x14ac:dyDescent="0.3">
      <c r="A332" s="4">
        <v>1328</v>
      </c>
      <c r="B332" s="4" t="s">
        <v>177</v>
      </c>
      <c r="C332" s="4" t="s">
        <v>178</v>
      </c>
      <c r="D332" s="7" t="s">
        <v>467</v>
      </c>
      <c r="E332" s="4" t="s">
        <v>15</v>
      </c>
      <c r="F332" s="9" t="s">
        <v>17</v>
      </c>
      <c r="G332" s="4">
        <v>329</v>
      </c>
      <c r="H332" s="4">
        <v>81</v>
      </c>
      <c r="I332" s="4" t="s">
        <v>934</v>
      </c>
      <c r="J332" s="4" t="str">
        <f t="shared" si="10"/>
        <v>2209030001</v>
      </c>
      <c r="K332" s="1" t="s">
        <v>12</v>
      </c>
      <c r="L332" s="4" t="s">
        <v>173</v>
      </c>
      <c r="M332" s="8" t="s">
        <v>877</v>
      </c>
      <c r="N332" s="4" t="str">
        <f t="shared" si="11"/>
        <v>('1328','RPT_009', 'LabaTrialBalance3rdSegment', '2209030001 - Liabilitas sewa - Porsi Jangka Panjang - Tanah - Pihak ketiga', 'Liabilitas', 'Liabilitas jangka panjang', '329', '81', 'AND ma.main_account_id IN (2209030001)', 'C', 'Porsi jangka panjang - liabilitas sewa', 0, 0),</v>
      </c>
    </row>
    <row r="333" spans="1:14" x14ac:dyDescent="0.3">
      <c r="A333" s="4">
        <v>1329</v>
      </c>
      <c r="B333" s="4" t="s">
        <v>177</v>
      </c>
      <c r="C333" s="4" t="s">
        <v>178</v>
      </c>
      <c r="D333" s="5" t="s">
        <v>151</v>
      </c>
      <c r="E333" s="4" t="s">
        <v>15</v>
      </c>
      <c r="F333" s="9" t="s">
        <v>17</v>
      </c>
      <c r="G333" s="4">
        <v>330</v>
      </c>
      <c r="H333" s="4">
        <v>82</v>
      </c>
      <c r="I333" s="4" t="s">
        <v>934</v>
      </c>
      <c r="J333" s="4" t="str">
        <f t="shared" si="10"/>
        <v>2210000000</v>
      </c>
      <c r="K333" s="1" t="s">
        <v>12</v>
      </c>
      <c r="L333" s="4" t="s">
        <v>173</v>
      </c>
      <c r="M333" s="8" t="s">
        <v>878</v>
      </c>
      <c r="N333" s="4" t="str">
        <f t="shared" si="11"/>
        <v>('1329','RPT_009', 'LabaTrialBalance3rdSegment', '2210000000 -  Liabilitas pajak tangguhan', 'Liabilitas', 'Liabilitas jangka panjang', '330', '82', 'AND ma.main_account_id IN (2210000000)', 'C', 'Liabilitas pajak tangguhan', 0, 0),</v>
      </c>
    </row>
    <row r="334" spans="1:14" x14ac:dyDescent="0.3">
      <c r="A334" s="4">
        <v>1330</v>
      </c>
      <c r="B334" s="4" t="s">
        <v>177</v>
      </c>
      <c r="C334" s="4" t="s">
        <v>178</v>
      </c>
      <c r="D334" s="6" t="s">
        <v>468</v>
      </c>
      <c r="E334" s="4" t="s">
        <v>15</v>
      </c>
      <c r="F334" s="9" t="s">
        <v>17</v>
      </c>
      <c r="G334" s="4">
        <v>331</v>
      </c>
      <c r="H334" s="4">
        <v>83</v>
      </c>
      <c r="I334" s="4" t="s">
        <v>934</v>
      </c>
      <c r="J334" s="4" t="str">
        <f t="shared" si="10"/>
        <v>2210010000</v>
      </c>
      <c r="K334" s="1" t="s">
        <v>12</v>
      </c>
      <c r="L334" s="4" t="s">
        <v>173</v>
      </c>
      <c r="M334" s="8" t="s">
        <v>878</v>
      </c>
      <c r="N334" s="4" t="str">
        <f t="shared" si="11"/>
        <v>('1330','RPT_009', 'LabaTrialBalance3rdSegment', '2210010000 -  Liabilitas pajak tangguhan', 'Liabilitas', 'Liabilitas jangka panjang', '331', '83', 'AND ma.main_account_id IN (2210010000)', 'C', 'Liabilitas pajak tangguhan', 0, 0),</v>
      </c>
    </row>
    <row r="335" spans="1:14" x14ac:dyDescent="0.3">
      <c r="A335" s="4">
        <v>1331</v>
      </c>
      <c r="B335" s="4" t="s">
        <v>177</v>
      </c>
      <c r="C335" s="4" t="s">
        <v>178</v>
      </c>
      <c r="D335" s="7" t="s">
        <v>469</v>
      </c>
      <c r="E335" s="4" t="s">
        <v>15</v>
      </c>
      <c r="F335" s="9" t="s">
        <v>17</v>
      </c>
      <c r="G335" s="4">
        <v>332</v>
      </c>
      <c r="H335" s="4">
        <v>84</v>
      </c>
      <c r="I335" s="4" t="s">
        <v>934</v>
      </c>
      <c r="J335" s="4" t="str">
        <f t="shared" si="10"/>
        <v>2210010001</v>
      </c>
      <c r="K335" s="1" t="s">
        <v>12</v>
      </c>
      <c r="L335" s="4" t="s">
        <v>173</v>
      </c>
      <c r="M335" s="8" t="s">
        <v>878</v>
      </c>
      <c r="N335" s="4" t="str">
        <f t="shared" si="11"/>
        <v>('1331','RPT_009', 'LabaTrialBalance3rdSegment', '2210010001 - Liabilitas pajak tangguhan', 'Liabilitas', 'Liabilitas jangka panjang', '332', '84', 'AND ma.main_account_id IN (2210010001)', 'C', 'Liabilitas pajak tangguhan', 0, 0),</v>
      </c>
    </row>
    <row r="336" spans="1:14" x14ac:dyDescent="0.3">
      <c r="A336" s="4">
        <v>1332</v>
      </c>
      <c r="B336" s="4" t="s">
        <v>177</v>
      </c>
      <c r="C336" s="4" t="s">
        <v>178</v>
      </c>
      <c r="D336" s="2" t="s">
        <v>152</v>
      </c>
      <c r="E336" s="4" t="s">
        <v>18</v>
      </c>
      <c r="F336" s="9" t="s">
        <v>18</v>
      </c>
      <c r="G336" s="4">
        <v>333</v>
      </c>
      <c r="H336" s="4">
        <v>1</v>
      </c>
      <c r="I336" s="4" t="s">
        <v>934</v>
      </c>
      <c r="J336" s="4" t="str">
        <f t="shared" si="10"/>
        <v>3000000000</v>
      </c>
      <c r="K336" s="1" t="s">
        <v>12</v>
      </c>
      <c r="L336" s="4" t="s">
        <v>172</v>
      </c>
      <c r="M336" s="8" t="s">
        <v>18</v>
      </c>
      <c r="N336" s="4" t="str">
        <f t="shared" si="11"/>
        <v>('1332','RPT_009', 'LabaTrialBalance3rdSegment', '3000000000 - Ekuitas', 'Ekuitas', 'Ekuitas', '333', '1', 'AND ma.main_account_id IN (3000000000)', 'D', 'Ekuitas', 0, 0),</v>
      </c>
    </row>
    <row r="337" spans="1:14" x14ac:dyDescent="0.3">
      <c r="A337" s="4">
        <v>1333</v>
      </c>
      <c r="B337" s="4" t="s">
        <v>177</v>
      </c>
      <c r="C337" s="4" t="s">
        <v>178</v>
      </c>
      <c r="D337" s="3" t="s">
        <v>153</v>
      </c>
      <c r="E337" s="4" t="s">
        <v>18</v>
      </c>
      <c r="F337" s="9" t="s">
        <v>18</v>
      </c>
      <c r="G337" s="4">
        <v>334</v>
      </c>
      <c r="H337" s="4">
        <v>2</v>
      </c>
      <c r="I337" s="4" t="s">
        <v>934</v>
      </c>
      <c r="J337" s="4" t="str">
        <f t="shared" si="10"/>
        <v>3100000000</v>
      </c>
      <c r="K337" s="1" t="s">
        <v>12</v>
      </c>
      <c r="L337" s="4" t="s">
        <v>172</v>
      </c>
      <c r="M337" s="8" t="s">
        <v>18</v>
      </c>
      <c r="N337" s="4" t="str">
        <f t="shared" si="11"/>
        <v>('1333','RPT_009', 'LabaTrialBalance3rdSegment', '3100000000 - Ekuitas', 'Ekuitas', 'Ekuitas', '334', '2', 'AND ma.main_account_id IN (3100000000)', 'D', 'Ekuitas', 0, 0),</v>
      </c>
    </row>
    <row r="338" spans="1:14" x14ac:dyDescent="0.3">
      <c r="A338" s="4">
        <v>1334</v>
      </c>
      <c r="B338" s="4" t="s">
        <v>177</v>
      </c>
      <c r="C338" s="4" t="s">
        <v>178</v>
      </c>
      <c r="D338" s="5" t="s">
        <v>154</v>
      </c>
      <c r="E338" s="4" t="s">
        <v>18</v>
      </c>
      <c r="F338" s="9" t="s">
        <v>18</v>
      </c>
      <c r="G338" s="4">
        <v>335</v>
      </c>
      <c r="H338" s="4">
        <v>3</v>
      </c>
      <c r="I338" s="4" t="s">
        <v>934</v>
      </c>
      <c r="J338" s="4" t="str">
        <f t="shared" si="10"/>
        <v>3101000000</v>
      </c>
      <c r="K338" s="1" t="s">
        <v>12</v>
      </c>
      <c r="L338" s="4" t="s">
        <v>172</v>
      </c>
      <c r="M338" s="8" t="s">
        <v>879</v>
      </c>
      <c r="N338" s="4" t="str">
        <f t="shared" si="11"/>
        <v>('1334','RPT_009', 'LabaTrialBalance3rdSegment', '3101000000 -  Modal saham', 'Ekuitas', 'Ekuitas', '335', '3', 'AND ma.main_account_id IN (3101000000)', 'D', 'Modal saham', 0, 0),</v>
      </c>
    </row>
    <row r="339" spans="1:14" x14ac:dyDescent="0.3">
      <c r="A339" s="4">
        <v>1335</v>
      </c>
      <c r="B339" s="4" t="s">
        <v>177</v>
      </c>
      <c r="C339" s="4" t="s">
        <v>178</v>
      </c>
      <c r="D339" s="6" t="s">
        <v>470</v>
      </c>
      <c r="E339" s="4" t="s">
        <v>18</v>
      </c>
      <c r="F339" s="9" t="s">
        <v>18</v>
      </c>
      <c r="G339" s="4">
        <v>336</v>
      </c>
      <c r="H339" s="4">
        <v>4</v>
      </c>
      <c r="I339" s="4" t="s">
        <v>934</v>
      </c>
      <c r="J339" s="4" t="str">
        <f t="shared" si="10"/>
        <v>3101010000</v>
      </c>
      <c r="K339" s="1" t="s">
        <v>12</v>
      </c>
      <c r="L339" s="4" t="s">
        <v>172</v>
      </c>
      <c r="M339" s="8" t="s">
        <v>879</v>
      </c>
      <c r="N339" s="4" t="str">
        <f t="shared" si="11"/>
        <v>('1335','RPT_009', 'LabaTrialBalance3rdSegment', '3101010000 -  Modal saham', 'Ekuitas', 'Ekuitas', '336', '4', 'AND ma.main_account_id IN (3101010000)', 'D', 'Modal saham', 0, 0),</v>
      </c>
    </row>
    <row r="340" spans="1:14" ht="27" x14ac:dyDescent="0.3">
      <c r="A340" s="4">
        <v>1336</v>
      </c>
      <c r="B340" s="4" t="s">
        <v>177</v>
      </c>
      <c r="C340" s="4" t="s">
        <v>178</v>
      </c>
      <c r="D340" s="7" t="s">
        <v>471</v>
      </c>
      <c r="E340" s="4" t="s">
        <v>18</v>
      </c>
      <c r="F340" s="9" t="s">
        <v>18</v>
      </c>
      <c r="G340" s="4">
        <v>337</v>
      </c>
      <c r="H340" s="4">
        <v>5</v>
      </c>
      <c r="I340" s="4" t="s">
        <v>934</v>
      </c>
      <c r="J340" s="4" t="str">
        <f t="shared" si="10"/>
        <v>3101010001</v>
      </c>
      <c r="K340" s="1" t="s">
        <v>12</v>
      </c>
      <c r="L340" s="4" t="s">
        <v>172</v>
      </c>
      <c r="M340" s="8" t="s">
        <v>879</v>
      </c>
      <c r="N340" s="4" t="str">
        <f t="shared" si="11"/>
        <v>('1336','RPT_009', 'LabaTrialBalance3rdSegment', '3101010001 - Modal saham - Modal Disetor Dan Ditempatkan', 'Ekuitas', 'Ekuitas', '337', '5', 'AND ma.main_account_id IN (3101010001)', 'D', 'Modal saham', 0, 0),</v>
      </c>
    </row>
    <row r="341" spans="1:14" x14ac:dyDescent="0.3">
      <c r="A341" s="4">
        <v>1337</v>
      </c>
      <c r="B341" s="4" t="s">
        <v>177</v>
      </c>
      <c r="C341" s="4" t="s">
        <v>178</v>
      </c>
      <c r="D341" s="5" t="s">
        <v>155</v>
      </c>
      <c r="E341" s="4" t="s">
        <v>18</v>
      </c>
      <c r="F341" s="9" t="s">
        <v>18</v>
      </c>
      <c r="G341" s="4">
        <v>338</v>
      </c>
      <c r="H341" s="4">
        <v>6</v>
      </c>
      <c r="I341" s="4" t="s">
        <v>934</v>
      </c>
      <c r="J341" s="4" t="str">
        <f t="shared" si="10"/>
        <v>3104000000</v>
      </c>
      <c r="K341" s="1" t="s">
        <v>12</v>
      </c>
      <c r="L341" s="4" t="s">
        <v>172</v>
      </c>
      <c r="M341" s="8" t="s">
        <v>880</v>
      </c>
      <c r="N341" s="4" t="str">
        <f t="shared" si="11"/>
        <v>('1337','RPT_009', 'LabaTrialBalance3rdSegment', '3104000000 -  Komponen ekuitas lainnya', 'Ekuitas', 'Ekuitas', '338', '6', 'AND ma.main_account_id IN (3104000000)', 'D', 'Komponen ekuitas lainnya', 0, 0),</v>
      </c>
    </row>
    <row r="342" spans="1:14" x14ac:dyDescent="0.3">
      <c r="A342" s="4">
        <v>1338</v>
      </c>
      <c r="B342" s="4" t="s">
        <v>177</v>
      </c>
      <c r="C342" s="4" t="s">
        <v>178</v>
      </c>
      <c r="D342" s="6" t="s">
        <v>472</v>
      </c>
      <c r="E342" s="4" t="s">
        <v>18</v>
      </c>
      <c r="F342" s="9" t="s">
        <v>18</v>
      </c>
      <c r="G342" s="4">
        <v>339</v>
      </c>
      <c r="H342" s="4">
        <v>7</v>
      </c>
      <c r="I342" s="4" t="s">
        <v>934</v>
      </c>
      <c r="J342" s="4" t="str">
        <f t="shared" si="10"/>
        <v>3104010000</v>
      </c>
      <c r="K342" s="1" t="s">
        <v>12</v>
      </c>
      <c r="L342" s="4" t="s">
        <v>172</v>
      </c>
      <c r="M342" s="8" t="s">
        <v>880</v>
      </c>
      <c r="N342" s="4" t="str">
        <f t="shared" si="11"/>
        <v>('1338','RPT_009', 'LabaTrialBalance3rdSegment', '3104010000 -  Komponen ekuitas lainnya', 'Ekuitas', 'Ekuitas', '339', '7', 'AND ma.main_account_id IN (3104010000)', 'D', 'Komponen ekuitas lainnya', 0, 0),</v>
      </c>
    </row>
    <row r="343" spans="1:14" ht="27" x14ac:dyDescent="0.3">
      <c r="A343" s="4">
        <v>1339</v>
      </c>
      <c r="B343" s="4" t="s">
        <v>177</v>
      </c>
      <c r="C343" s="4" t="s">
        <v>178</v>
      </c>
      <c r="D343" s="7" t="s">
        <v>473</v>
      </c>
      <c r="E343" s="4" t="s">
        <v>18</v>
      </c>
      <c r="F343" s="9" t="s">
        <v>18</v>
      </c>
      <c r="G343" s="4">
        <v>340</v>
      </c>
      <c r="H343" s="4">
        <v>8</v>
      </c>
      <c r="I343" s="4" t="s">
        <v>934</v>
      </c>
      <c r="J343" s="4" t="str">
        <f t="shared" si="10"/>
        <v>3104010004</v>
      </c>
      <c r="K343" s="1" t="s">
        <v>12</v>
      </c>
      <c r="L343" s="4" t="s">
        <v>172</v>
      </c>
      <c r="M343" s="8" t="s">
        <v>880</v>
      </c>
      <c r="N343" s="4" t="str">
        <f t="shared" si="11"/>
        <v>('1339','RPT_009', 'LabaTrialBalance3rdSegment', '3104010004 - Komponen Ekuitas Lainnya - Modal Sumbangan', 'Ekuitas', 'Ekuitas', '340', '8', 'AND ma.main_account_id IN (3104010004)', 'D', 'Komponen ekuitas lainnya', 0, 0),</v>
      </c>
    </row>
    <row r="344" spans="1:14" x14ac:dyDescent="0.3">
      <c r="A344" s="4">
        <v>1340</v>
      </c>
      <c r="B344" s="4" t="s">
        <v>177</v>
      </c>
      <c r="C344" s="4" t="s">
        <v>178</v>
      </c>
      <c r="D344" s="5" t="s">
        <v>19</v>
      </c>
      <c r="E344" s="4" t="s">
        <v>18</v>
      </c>
      <c r="F344" s="9" t="s">
        <v>18</v>
      </c>
      <c r="G344" s="4">
        <v>341</v>
      </c>
      <c r="H344" s="4">
        <v>9</v>
      </c>
      <c r="I344" s="4" t="s">
        <v>934</v>
      </c>
      <c r="J344" s="4" t="str">
        <f t="shared" si="10"/>
        <v>3105000000</v>
      </c>
      <c r="K344" s="1" t="s">
        <v>12</v>
      </c>
      <c r="L344" s="4" t="s">
        <v>172</v>
      </c>
      <c r="M344" s="8" t="s">
        <v>881</v>
      </c>
      <c r="N344" s="4" t="str">
        <f t="shared" si="11"/>
        <v>('1340','RPT_009', 'LabaTrialBalance3rdSegment', '3105000000 -  Saldo laba dicadangkan', 'Ekuitas', 'Ekuitas', '341', '9', 'AND ma.main_account_id IN (3105000000)', 'D', 'Saldo laba dicadangkan', 0, 0),</v>
      </c>
    </row>
    <row r="345" spans="1:14" x14ac:dyDescent="0.3">
      <c r="A345" s="4">
        <v>1341</v>
      </c>
      <c r="B345" s="4" t="s">
        <v>177</v>
      </c>
      <c r="C345" s="4" t="s">
        <v>178</v>
      </c>
      <c r="D345" s="6" t="s">
        <v>474</v>
      </c>
      <c r="E345" s="4" t="s">
        <v>18</v>
      </c>
      <c r="F345" s="9" t="s">
        <v>18</v>
      </c>
      <c r="G345" s="4">
        <v>342</v>
      </c>
      <c r="H345" s="4">
        <v>10</v>
      </c>
      <c r="I345" s="4" t="s">
        <v>934</v>
      </c>
      <c r="J345" s="4" t="str">
        <f t="shared" si="10"/>
        <v>3105010000</v>
      </c>
      <c r="K345" s="1" t="s">
        <v>12</v>
      </c>
      <c r="L345" s="4" t="s">
        <v>172</v>
      </c>
      <c r="M345" s="8" t="s">
        <v>881</v>
      </c>
      <c r="N345" s="4" t="str">
        <f t="shared" si="11"/>
        <v>('1341','RPT_009', 'LabaTrialBalance3rdSegment', '3105010000 -  Saldo laba dicadangkan', 'Ekuitas', 'Ekuitas', '342', '10', 'AND ma.main_account_id IN (3105010000)', 'D', 'Saldo laba dicadangkan', 0, 0),</v>
      </c>
    </row>
    <row r="346" spans="1:14" ht="27" x14ac:dyDescent="0.3">
      <c r="A346" s="4">
        <v>1342</v>
      </c>
      <c r="B346" s="4" t="s">
        <v>177</v>
      </c>
      <c r="C346" s="4" t="s">
        <v>178</v>
      </c>
      <c r="D346" s="7" t="s">
        <v>475</v>
      </c>
      <c r="E346" s="4" t="s">
        <v>18</v>
      </c>
      <c r="F346" s="9" t="s">
        <v>18</v>
      </c>
      <c r="G346" s="4">
        <v>343</v>
      </c>
      <c r="H346" s="4">
        <v>11</v>
      </c>
      <c r="I346" s="4" t="s">
        <v>934</v>
      </c>
      <c r="J346" s="4" t="str">
        <f t="shared" si="10"/>
        <v>3105010001</v>
      </c>
      <c r="K346" s="1" t="s">
        <v>12</v>
      </c>
      <c r="L346" s="4" t="s">
        <v>172</v>
      </c>
      <c r="M346" s="8" t="s">
        <v>881</v>
      </c>
      <c r="N346" s="4" t="str">
        <f t="shared" si="11"/>
        <v>('1342','RPT_009', 'LabaTrialBalance3rdSegment', '3105010001 - Saldo laba dicadangkan - Cadangan Umum', 'Ekuitas', 'Ekuitas', '343', '11', 'AND ma.main_account_id IN (3105010001)', 'D', 'Saldo laba dicadangkan', 0, 0),</v>
      </c>
    </row>
    <row r="347" spans="1:14" ht="31.2" x14ac:dyDescent="0.3">
      <c r="A347" s="4">
        <v>1343</v>
      </c>
      <c r="B347" s="4" t="s">
        <v>177</v>
      </c>
      <c r="C347" s="4" t="s">
        <v>178</v>
      </c>
      <c r="D347" s="5" t="s">
        <v>20</v>
      </c>
      <c r="E347" s="4" t="s">
        <v>18</v>
      </c>
      <c r="F347" s="9" t="s">
        <v>18</v>
      </c>
      <c r="G347" s="4">
        <v>344</v>
      </c>
      <c r="H347" s="4">
        <v>12</v>
      </c>
      <c r="I347" s="4" t="s">
        <v>934</v>
      </c>
      <c r="J347" s="4" t="str">
        <f t="shared" si="10"/>
        <v>3106000000</v>
      </c>
      <c r="K347" s="1" t="s">
        <v>12</v>
      </c>
      <c r="L347" s="4" t="s">
        <v>172</v>
      </c>
      <c r="M347" s="8" t="s">
        <v>882</v>
      </c>
      <c r="N347" s="4" t="str">
        <f t="shared" si="11"/>
        <v>('1343','RPT_009', 'LabaTrialBalance3rdSegment', '3106000000 -  Saldo laba belum dicadangkan', 'Ekuitas', 'Ekuitas', '344', '12', 'AND ma.main_account_id IN (3106000000)', 'D', 'Saldo laba belum dicadangkan', 0, 0),</v>
      </c>
    </row>
    <row r="348" spans="1:14" ht="31.2" x14ac:dyDescent="0.3">
      <c r="A348" s="4">
        <v>1344</v>
      </c>
      <c r="B348" s="4" t="s">
        <v>177</v>
      </c>
      <c r="C348" s="4" t="s">
        <v>178</v>
      </c>
      <c r="D348" s="6" t="s">
        <v>476</v>
      </c>
      <c r="E348" s="4" t="s">
        <v>18</v>
      </c>
      <c r="F348" s="9" t="s">
        <v>18</v>
      </c>
      <c r="G348" s="4">
        <v>345</v>
      </c>
      <c r="H348" s="4">
        <v>13</v>
      </c>
      <c r="I348" s="4" t="s">
        <v>934</v>
      </c>
      <c r="J348" s="4" t="str">
        <f t="shared" si="10"/>
        <v>3106020000</v>
      </c>
      <c r="K348" s="1" t="s">
        <v>12</v>
      </c>
      <c r="L348" s="4" t="s">
        <v>172</v>
      </c>
      <c r="M348" s="8" t="s">
        <v>882</v>
      </c>
      <c r="N348" s="4" t="str">
        <f t="shared" si="11"/>
        <v>('1344','RPT_009', 'LabaTrialBalance3rdSegment', '3106020000 -  Akumulasi Laba/Rugi tahun lalu', 'Ekuitas', 'Ekuitas', '345', '13', 'AND ma.main_account_id IN (3106020000)', 'D', 'Saldo laba belum dicadangkan', 0, 0),</v>
      </c>
    </row>
    <row r="349" spans="1:14" ht="31.2" x14ac:dyDescent="0.3">
      <c r="A349" s="4">
        <v>1345</v>
      </c>
      <c r="B349" s="4" t="s">
        <v>177</v>
      </c>
      <c r="C349" s="4" t="s">
        <v>178</v>
      </c>
      <c r="D349" s="7" t="s">
        <v>477</v>
      </c>
      <c r="E349" s="4" t="s">
        <v>18</v>
      </c>
      <c r="F349" s="9" t="s">
        <v>18</v>
      </c>
      <c r="G349" s="4">
        <v>346</v>
      </c>
      <c r="H349" s="4">
        <v>14</v>
      </c>
      <c r="I349" s="4" t="s">
        <v>934</v>
      </c>
      <c r="J349" s="4" t="str">
        <f t="shared" si="10"/>
        <v>3106020001</v>
      </c>
      <c r="K349" s="1" t="s">
        <v>12</v>
      </c>
      <c r="L349" s="4" t="s">
        <v>172</v>
      </c>
      <c r="M349" s="8" t="s">
        <v>882</v>
      </c>
      <c r="N349" s="4" t="str">
        <f t="shared" si="11"/>
        <v>('1345','RPT_009', 'LabaTrialBalance3rdSegment', '3106020001 - Akumulasi Laba/Rugi tahun lalu', 'Ekuitas', 'Ekuitas', '346', '14', 'AND ma.main_account_id IN (3106020001)', 'D', 'Saldo laba belum dicadangkan', 0, 0),</v>
      </c>
    </row>
    <row r="350" spans="1:14" ht="31.2" x14ac:dyDescent="0.3">
      <c r="A350" s="4">
        <v>1346</v>
      </c>
      <c r="B350" s="4" t="s">
        <v>177</v>
      </c>
      <c r="C350" s="4" t="s">
        <v>178</v>
      </c>
      <c r="D350" s="6" t="s">
        <v>478</v>
      </c>
      <c r="E350" s="4" t="s">
        <v>18</v>
      </c>
      <c r="F350" s="9" t="s">
        <v>18</v>
      </c>
      <c r="G350" s="4">
        <v>347</v>
      </c>
      <c r="H350" s="4">
        <v>15</v>
      </c>
      <c r="I350" s="4" t="s">
        <v>934</v>
      </c>
      <c r="J350" s="4" t="str">
        <f t="shared" si="10"/>
        <v>3106030000</v>
      </c>
      <c r="K350" s="1" t="s">
        <v>12</v>
      </c>
      <c r="L350" s="4" t="s">
        <v>172</v>
      </c>
      <c r="M350" s="8" t="s">
        <v>882</v>
      </c>
      <c r="N350" s="4" t="str">
        <f t="shared" si="11"/>
        <v>('1346','RPT_009', 'LabaTrialBalance3rdSegment', '3106030000 -  Laba/Rugi Tahun Berjalan', 'Ekuitas', 'Ekuitas', '347', '15', 'AND ma.main_account_id IN (3106030000)', 'D', 'Saldo laba belum dicadangkan', 0, 0),</v>
      </c>
    </row>
    <row r="351" spans="1:14" ht="31.2" x14ac:dyDescent="0.3">
      <c r="A351" s="4">
        <v>1347</v>
      </c>
      <c r="B351" s="4" t="s">
        <v>177</v>
      </c>
      <c r="C351" s="4" t="s">
        <v>178</v>
      </c>
      <c r="D351" s="7" t="s">
        <v>479</v>
      </c>
      <c r="E351" s="4" t="s">
        <v>18</v>
      </c>
      <c r="F351" s="9" t="s">
        <v>18</v>
      </c>
      <c r="G351" s="4">
        <v>348</v>
      </c>
      <c r="H351" s="4">
        <v>16</v>
      </c>
      <c r="I351" s="4" t="s">
        <v>934</v>
      </c>
      <c r="J351" s="4" t="str">
        <f t="shared" si="10"/>
        <v>3106030001</v>
      </c>
      <c r="K351" s="1" t="s">
        <v>12</v>
      </c>
      <c r="L351" s="4" t="s">
        <v>172</v>
      </c>
      <c r="M351" s="8" t="s">
        <v>882</v>
      </c>
      <c r="N351" s="4" t="str">
        <f t="shared" si="11"/>
        <v>('1347','RPT_009', 'LabaTrialBalance3rdSegment', '3106030001 - Laba/rugi tahun berjalan', 'Ekuitas', 'Ekuitas', '348', '16', 'AND ma.main_account_id IN (3106030001)', 'D', 'Saldo laba belum dicadangkan', 0, 0),</v>
      </c>
    </row>
    <row r="352" spans="1:14" ht="46.8" x14ac:dyDescent="0.3">
      <c r="A352" s="4">
        <v>1348</v>
      </c>
      <c r="B352" s="4" t="s">
        <v>177</v>
      </c>
      <c r="C352" s="4" t="s">
        <v>178</v>
      </c>
      <c r="D352" s="5" t="s">
        <v>21</v>
      </c>
      <c r="E352" s="4" t="s">
        <v>18</v>
      </c>
      <c r="F352" s="9" t="s">
        <v>18</v>
      </c>
      <c r="G352" s="4">
        <v>349</v>
      </c>
      <c r="H352" s="4">
        <v>17</v>
      </c>
      <c r="I352" s="4" t="s">
        <v>934</v>
      </c>
      <c r="J352" s="4" t="str">
        <f t="shared" si="10"/>
        <v>3107000000</v>
      </c>
      <c r="K352" s="1" t="s">
        <v>12</v>
      </c>
      <c r="L352" s="4" t="s">
        <v>172</v>
      </c>
      <c r="M352" s="8" t="s">
        <v>883</v>
      </c>
      <c r="N352" s="4" t="str">
        <f t="shared" si="11"/>
        <v>('1348','RPT_009', 'LabaTrialBalance3rdSegment', '3107000000 -  Komponen ekuitas lainnya: Penghasilan/Rugi Komprehensif', 'Ekuitas', 'Ekuitas', '349', '17', 'AND ma.main_account_id IN (3107000000)', 'D', 'Komponen ekuitas lainnya: Penghasilan/Rugi Komprehensif', 0, 0),</v>
      </c>
    </row>
    <row r="353" spans="1:14" ht="53.4" x14ac:dyDescent="0.3">
      <c r="A353" s="4">
        <v>1349</v>
      </c>
      <c r="B353" s="4" t="s">
        <v>177</v>
      </c>
      <c r="C353" s="4" t="s">
        <v>178</v>
      </c>
      <c r="D353" s="6" t="s">
        <v>480</v>
      </c>
      <c r="E353" s="4" t="s">
        <v>18</v>
      </c>
      <c r="F353" s="9" t="s">
        <v>18</v>
      </c>
      <c r="G353" s="4">
        <v>350</v>
      </c>
      <c r="H353" s="4">
        <v>18</v>
      </c>
      <c r="I353" s="4" t="s">
        <v>934</v>
      </c>
      <c r="J353" s="4" t="str">
        <f t="shared" si="10"/>
        <v>3107010000</v>
      </c>
      <c r="K353" s="1" t="s">
        <v>12</v>
      </c>
      <c r="L353" s="4" t="s">
        <v>172</v>
      </c>
      <c r="M353" s="8" t="s">
        <v>883</v>
      </c>
      <c r="N353" s="4" t="str">
        <f t="shared" si="11"/>
        <v>('1349','RPT_009', 'LabaTrialBalance3rdSegment', '3107010000 -  Pos yang tidak akan direklasifikasi ke Laba Rugi - Pengukuran kembali kewajiban imbalan pascakerja, setelah dampak pajak', 'Ekuitas', 'Ekuitas', '350', '18', 'AND ma.main_account_id IN (3107010000)', 'D', 'Komponen ekuitas lainnya: Penghasilan/Rugi Komprehensif', 0, 0),</v>
      </c>
    </row>
    <row r="354" spans="1:14" ht="53.4" x14ac:dyDescent="0.3">
      <c r="A354" s="4">
        <v>1350</v>
      </c>
      <c r="B354" s="4" t="s">
        <v>177</v>
      </c>
      <c r="C354" s="4" t="s">
        <v>178</v>
      </c>
      <c r="D354" s="7" t="s">
        <v>481</v>
      </c>
      <c r="E354" s="4" t="s">
        <v>18</v>
      </c>
      <c r="F354" s="9" t="s">
        <v>18</v>
      </c>
      <c r="G354" s="4">
        <v>351</v>
      </c>
      <c r="H354" s="4">
        <v>19</v>
      </c>
      <c r="I354" s="4" t="s">
        <v>934</v>
      </c>
      <c r="J354" s="4" t="str">
        <f t="shared" si="10"/>
        <v>3107010001</v>
      </c>
      <c r="K354" s="1" t="s">
        <v>12</v>
      </c>
      <c r="L354" s="4" t="s">
        <v>172</v>
      </c>
      <c r="M354" s="8" t="s">
        <v>883</v>
      </c>
      <c r="N354" s="4" t="str">
        <f t="shared" si="11"/>
        <v>('1350','RPT_009', 'LabaTrialBalance3rdSegment', '3107010001 - Pos yang tidak akan direklasifikasi ke Laba Rugi - Pengukuran kembali kewajiban imbalan pascakerja, setelah dampak pajak', 'Ekuitas', 'Ekuitas', '351', '19', 'AND ma.main_account_id IN (3107010001)', 'D', 'Komponen ekuitas lainnya: Penghasilan/Rugi Komprehensif', 0, 0),</v>
      </c>
    </row>
    <row r="355" spans="1:14" ht="79.8" x14ac:dyDescent="0.3">
      <c r="A355" s="4">
        <v>1351</v>
      </c>
      <c r="B355" s="4" t="s">
        <v>177</v>
      </c>
      <c r="C355" s="4" t="s">
        <v>178</v>
      </c>
      <c r="D355" s="6" t="s">
        <v>482</v>
      </c>
      <c r="E355" s="4" t="s">
        <v>18</v>
      </c>
      <c r="F355" s="9" t="s">
        <v>18</v>
      </c>
      <c r="G355" s="4">
        <v>352</v>
      </c>
      <c r="H355" s="4">
        <v>20</v>
      </c>
      <c r="I355" s="4" t="s">
        <v>934</v>
      </c>
      <c r="J355" s="4" t="str">
        <f t="shared" si="10"/>
        <v>3107020000</v>
      </c>
      <c r="K355" s="1" t="s">
        <v>12</v>
      </c>
      <c r="L355" s="4" t="s">
        <v>172</v>
      </c>
      <c r="M355" s="8" t="s">
        <v>883</v>
      </c>
      <c r="N355" s="4" t="str">
        <f t="shared" si="11"/>
        <v>('1351','RPT_009', 'LabaTrialBalance3rdSegment', '3107020000 -  Pos yang tidak akan direklasifikasi ke Laba Rugi - Perubahan nilai wajar aset keuangan pada nilai wajar melalui penghasilan komprehensif lain - Penyertaan Saham, setelah dampak pajak', 'Ekuitas', 'Ekuitas', '352', '20', 'AND ma.main_account_id IN (3107020000)', 'D', 'Komponen ekuitas lainnya: Penghasilan/Rugi Komprehensif', 0, 0),</v>
      </c>
    </row>
    <row r="356" spans="1:14" ht="79.8" x14ac:dyDescent="0.3">
      <c r="A356" s="4">
        <v>1352</v>
      </c>
      <c r="B356" s="4" t="s">
        <v>177</v>
      </c>
      <c r="C356" s="4" t="s">
        <v>178</v>
      </c>
      <c r="D356" s="7" t="s">
        <v>483</v>
      </c>
      <c r="E356" s="4" t="s">
        <v>18</v>
      </c>
      <c r="F356" s="9" t="s">
        <v>18</v>
      </c>
      <c r="G356" s="4">
        <v>353</v>
      </c>
      <c r="H356" s="4">
        <v>21</v>
      </c>
      <c r="I356" s="4" t="s">
        <v>934</v>
      </c>
      <c r="J356" s="4" t="str">
        <f t="shared" si="10"/>
        <v>3107020001</v>
      </c>
      <c r="K356" s="1" t="s">
        <v>12</v>
      </c>
      <c r="L356" s="4" t="s">
        <v>172</v>
      </c>
      <c r="M356" s="8" t="s">
        <v>883</v>
      </c>
      <c r="N356" s="4" t="str">
        <f t="shared" si="11"/>
        <v>('1352','RPT_009', 'LabaTrialBalance3rdSegment', '3107020001 - Pos yang tidak akan direklasifikasi ke Laba Rugi - Perubahan nilai wajar aset keuangan pada nilai wajar melalui penghasilan komprehensif lain - Penyertaan Saham, setelah dampak pajak', 'Ekuitas', 'Ekuitas', '353', '21', 'AND ma.main_account_id IN (3107020001)', 'D', 'Komponen ekuitas lainnya: Penghasilan/Rugi Komprehensif', 0, 0),</v>
      </c>
    </row>
    <row r="357" spans="1:14" ht="79.8" x14ac:dyDescent="0.3">
      <c r="A357" s="4">
        <v>1353</v>
      </c>
      <c r="B357" s="4" t="s">
        <v>177</v>
      </c>
      <c r="C357" s="4" t="s">
        <v>178</v>
      </c>
      <c r="D357" s="6" t="s">
        <v>484</v>
      </c>
      <c r="E357" s="4" t="s">
        <v>18</v>
      </c>
      <c r="F357" s="9" t="s">
        <v>18</v>
      </c>
      <c r="G357" s="4">
        <v>354</v>
      </c>
      <c r="H357" s="4">
        <v>22</v>
      </c>
      <c r="I357" s="4" t="s">
        <v>934</v>
      </c>
      <c r="J357" s="4" t="str">
        <f t="shared" si="10"/>
        <v>3107030000</v>
      </c>
      <c r="K357" s="1" t="s">
        <v>12</v>
      </c>
      <c r="L357" s="4" t="s">
        <v>172</v>
      </c>
      <c r="M357" s="8" t="s">
        <v>883</v>
      </c>
      <c r="N357" s="4" t="str">
        <f t="shared" si="11"/>
        <v>('1353','RPT_009', 'LabaTrialBalance3rdSegment', '3107030000 -  Pos yang tidak akan direklasifikasi ke Laba Rugi - Bagian rugi (penghasilan) komprehensif lain dari investasi pada entitas asosiasi dan ventura bersama, setelah dampak pajak', 'Ekuitas', 'Ekuitas', '354', '22', 'AND ma.main_account_id IN (3107030000)', 'D', 'Komponen ekuitas lainnya: Penghasilan/Rugi Komprehensif', 0, 0),</v>
      </c>
    </row>
    <row r="358" spans="1:14" ht="79.8" x14ac:dyDescent="0.3">
      <c r="A358" s="4">
        <v>1354</v>
      </c>
      <c r="B358" s="4" t="s">
        <v>177</v>
      </c>
      <c r="C358" s="4" t="s">
        <v>178</v>
      </c>
      <c r="D358" s="7" t="s">
        <v>485</v>
      </c>
      <c r="E358" s="4" t="s">
        <v>18</v>
      </c>
      <c r="F358" s="9" t="s">
        <v>18</v>
      </c>
      <c r="G358" s="4">
        <v>355</v>
      </c>
      <c r="H358" s="4">
        <v>23</v>
      </c>
      <c r="I358" s="4" t="s">
        <v>934</v>
      </c>
      <c r="J358" s="4" t="str">
        <f t="shared" si="10"/>
        <v>3107030001</v>
      </c>
      <c r="K358" s="1" t="s">
        <v>12</v>
      </c>
      <c r="L358" s="4" t="s">
        <v>172</v>
      </c>
      <c r="M358" s="8" t="s">
        <v>883</v>
      </c>
      <c r="N358" s="4" t="str">
        <f t="shared" si="11"/>
        <v>('1354','RPT_009', 'LabaTrialBalance3rdSegment', '3107030001 - Pos yang tidak akan direklasifikasi ke Laba Rugi - Bagian rugi (penghasilan) komprehensif lain dari investasi pada entitas asosiasi dan ventura bersama setelah dampak pajak', 'Ekuitas', 'Ekuitas', '355', '23', 'AND ma.main_account_id IN (3107030001)', 'D', 'Komponen ekuitas lainnya: Penghasilan/Rugi Komprehensif', 0, 0),</v>
      </c>
    </row>
    <row r="359" spans="1:14" ht="26.4" x14ac:dyDescent="0.3">
      <c r="A359" s="4">
        <v>1355</v>
      </c>
      <c r="B359" s="4" t="s">
        <v>177</v>
      </c>
      <c r="C359" s="4" t="s">
        <v>178</v>
      </c>
      <c r="D359" s="5" t="s">
        <v>22</v>
      </c>
      <c r="E359" s="4" t="s">
        <v>18</v>
      </c>
      <c r="F359" s="9" t="s">
        <v>18</v>
      </c>
      <c r="G359" s="4">
        <v>356</v>
      </c>
      <c r="H359" s="4">
        <v>24</v>
      </c>
      <c r="I359" s="4" t="s">
        <v>934</v>
      </c>
      <c r="J359" s="4" t="str">
        <f t="shared" si="10"/>
        <v>3108000000</v>
      </c>
      <c r="K359" s="1" t="s">
        <v>12</v>
      </c>
      <c r="L359" s="4" t="s">
        <v>172</v>
      </c>
      <c r="M359" s="8" t="s">
        <v>884</v>
      </c>
      <c r="N359" s="4" t="str">
        <f t="shared" si="11"/>
        <v>('1355','RPT_009', 'LabaTrialBalance3rdSegment', '3108000000 -  Kepentingan non-pengendali', 'Ekuitas', 'Ekuitas', '356', '24', 'AND ma.main_account_id IN (3108000000)', 'D', 'Kepentingan non-pengendali', 0, 0),</v>
      </c>
    </row>
    <row r="360" spans="1:14" ht="27" x14ac:dyDescent="0.3">
      <c r="A360" s="4">
        <v>1356</v>
      </c>
      <c r="B360" s="4" t="s">
        <v>177</v>
      </c>
      <c r="C360" s="4" t="s">
        <v>178</v>
      </c>
      <c r="D360" s="6" t="s">
        <v>486</v>
      </c>
      <c r="E360" s="4" t="s">
        <v>18</v>
      </c>
      <c r="F360" s="9" t="s">
        <v>18</v>
      </c>
      <c r="G360" s="4">
        <v>357</v>
      </c>
      <c r="H360" s="4">
        <v>25</v>
      </c>
      <c r="I360" s="4" t="s">
        <v>934</v>
      </c>
      <c r="J360" s="4" t="str">
        <f t="shared" si="10"/>
        <v>3108010000</v>
      </c>
      <c r="K360" s="1" t="s">
        <v>12</v>
      </c>
      <c r="L360" s="4" t="s">
        <v>172</v>
      </c>
      <c r="M360" s="8" t="s">
        <v>884</v>
      </c>
      <c r="N360" s="4" t="str">
        <f t="shared" si="11"/>
        <v>('1356','RPT_009', 'LabaTrialBalance3rdSegment', '3108010000 -  Kepentingan non-pengendali', 'Ekuitas', 'Ekuitas', '357', '25', 'AND ma.main_account_id IN (3108010000)', 'D', 'Kepentingan non-pengendali', 0, 0),</v>
      </c>
    </row>
    <row r="361" spans="1:14" ht="27" x14ac:dyDescent="0.3">
      <c r="A361" s="4">
        <v>1357</v>
      </c>
      <c r="B361" s="4" t="s">
        <v>177</v>
      </c>
      <c r="C361" s="4" t="s">
        <v>178</v>
      </c>
      <c r="D361" s="7" t="s">
        <v>487</v>
      </c>
      <c r="E361" s="4" t="s">
        <v>18</v>
      </c>
      <c r="F361" s="9" t="s">
        <v>18</v>
      </c>
      <c r="G361" s="4">
        <v>358</v>
      </c>
      <c r="H361" s="4">
        <v>26</v>
      </c>
      <c r="I361" s="4" t="s">
        <v>934</v>
      </c>
      <c r="J361" s="4" t="str">
        <f t="shared" si="10"/>
        <v>3108010001</v>
      </c>
      <c r="K361" s="1" t="s">
        <v>12</v>
      </c>
      <c r="L361" s="4" t="s">
        <v>172</v>
      </c>
      <c r="M361" s="8" t="s">
        <v>884</v>
      </c>
      <c r="N361" s="4" t="str">
        <f t="shared" si="11"/>
        <v>('1357','RPT_009', 'LabaTrialBalance3rdSegment', '3108010001 - Kepentingan non-pengendali', 'Ekuitas', 'Ekuitas', '358', '26', 'AND ma.main_account_id IN (3108010001)', 'D', 'Kepentingan non-pengendali', 0, 0),</v>
      </c>
    </row>
    <row r="362" spans="1:14" x14ac:dyDescent="0.3">
      <c r="A362" s="4">
        <v>1358</v>
      </c>
      <c r="B362" s="4" t="s">
        <v>177</v>
      </c>
      <c r="C362" s="4" t="s">
        <v>178</v>
      </c>
      <c r="D362" s="2" t="s">
        <v>23</v>
      </c>
      <c r="E362" s="4" t="s">
        <v>24</v>
      </c>
      <c r="F362" s="9" t="s">
        <v>853</v>
      </c>
      <c r="G362" s="4">
        <v>359</v>
      </c>
      <c r="H362" s="4">
        <v>1</v>
      </c>
      <c r="I362" s="4" t="s">
        <v>934</v>
      </c>
      <c r="J362" s="4" t="str">
        <f t="shared" si="10"/>
        <v>4000000000</v>
      </c>
      <c r="K362" s="1" t="s">
        <v>12</v>
      </c>
      <c r="L362" s="4" t="s">
        <v>174</v>
      </c>
      <c r="M362" s="10" t="s">
        <v>24</v>
      </c>
      <c r="N362" s="4" t="str">
        <f t="shared" si="11"/>
        <v>('1358','RPT_009', 'LabaTrialBalance3rdSegment', '4000000000 - Pendapatan Usaha', 'Pendapatan Usaha', ' Pendapatan Usaha', '359', '1', 'AND ma.main_account_id IN (4000000000)', 'E', 'Pendapatan Usaha', 0, 0),</v>
      </c>
    </row>
    <row r="363" spans="1:14" x14ac:dyDescent="0.3">
      <c r="A363" s="4">
        <v>1359</v>
      </c>
      <c r="B363" s="4" t="s">
        <v>177</v>
      </c>
      <c r="C363" s="4" t="s">
        <v>178</v>
      </c>
      <c r="D363" s="3" t="s">
        <v>25</v>
      </c>
      <c r="E363" s="4" t="s">
        <v>24</v>
      </c>
      <c r="F363" s="9" t="s">
        <v>26</v>
      </c>
      <c r="G363" s="4">
        <v>360</v>
      </c>
      <c r="H363" s="4">
        <v>2</v>
      </c>
      <c r="I363" s="4" t="s">
        <v>934</v>
      </c>
      <c r="J363" s="4" t="str">
        <f t="shared" si="10"/>
        <v>4100000000</v>
      </c>
      <c r="K363" s="1" t="s">
        <v>12</v>
      </c>
      <c r="L363" s="4" t="s">
        <v>174</v>
      </c>
      <c r="M363" s="8" t="s">
        <v>26</v>
      </c>
      <c r="N363" s="4" t="str">
        <f t="shared" si="11"/>
        <v>('1359','RPT_009', 'LabaTrialBalance3rdSegment', '4100000000 - Pemilik dan Operator', 'Pendapatan Usaha', 'Pemilik dan Operator', '360', '2', 'AND ma.main_account_id IN (4100000000)', 'E', 'Pemilik dan Operator', 0, 0),</v>
      </c>
    </row>
    <row r="364" spans="1:14" x14ac:dyDescent="0.3">
      <c r="A364" s="4">
        <v>1360</v>
      </c>
      <c r="B364" s="4" t="s">
        <v>177</v>
      </c>
      <c r="C364" s="4" t="s">
        <v>178</v>
      </c>
      <c r="D364" s="5" t="s">
        <v>27</v>
      </c>
      <c r="E364" s="4" t="s">
        <v>24</v>
      </c>
      <c r="F364" s="9" t="s">
        <v>26</v>
      </c>
      <c r="G364" s="4">
        <v>361</v>
      </c>
      <c r="H364" s="4">
        <v>3</v>
      </c>
      <c r="I364" s="4" t="s">
        <v>934</v>
      </c>
      <c r="J364" s="4" t="str">
        <f t="shared" si="10"/>
        <v>4141000000</v>
      </c>
      <c r="K364" s="1" t="s">
        <v>12</v>
      </c>
      <c r="L364" s="4" t="s">
        <v>174</v>
      </c>
      <c r="M364" s="8" t="s">
        <v>885</v>
      </c>
      <c r="N364" s="4" t="str">
        <f t="shared" si="11"/>
        <v>('1360','RPT_009', 'LabaTrialBalance3rdSegment', '4141000000 -  Operator Atraksi - Fasilitas', 'Pendapatan Usaha', 'Pemilik dan Operator', '361', '3', 'AND ma.main_account_id IN (4141000000)', 'E', 'Operator Atraksi - Fasilitas', 0, 0),</v>
      </c>
    </row>
    <row r="365" spans="1:14" x14ac:dyDescent="0.3">
      <c r="A365" s="4">
        <v>1361</v>
      </c>
      <c r="B365" s="4" t="s">
        <v>177</v>
      </c>
      <c r="C365" s="4" t="s">
        <v>178</v>
      </c>
      <c r="D365" s="6" t="s">
        <v>488</v>
      </c>
      <c r="E365" s="4" t="s">
        <v>24</v>
      </c>
      <c r="F365" s="9" t="s">
        <v>26</v>
      </c>
      <c r="G365" s="4">
        <v>362</v>
      </c>
      <c r="H365" s="4">
        <v>4</v>
      </c>
      <c r="I365" s="4" t="s">
        <v>934</v>
      </c>
      <c r="J365" s="4" t="str">
        <f t="shared" si="10"/>
        <v>4141040000</v>
      </c>
      <c r="K365" s="1" t="s">
        <v>12</v>
      </c>
      <c r="L365" s="4" t="s">
        <v>174</v>
      </c>
      <c r="M365" s="8" t="s">
        <v>885</v>
      </c>
      <c r="N365" s="4" t="str">
        <f t="shared" si="11"/>
        <v>('1361','RPT_009', 'LabaTrialBalance3rdSegment', '4141040000 -  Event dan Promosi', 'Pendapatan Usaha', 'Pemilik dan Operator', '362', '4', 'AND ma.main_account_id IN (4141040000)', 'E', 'Operator Atraksi - Fasilitas', 0, 0),</v>
      </c>
    </row>
    <row r="366" spans="1:14" ht="27" x14ac:dyDescent="0.3">
      <c r="A366" s="4">
        <v>1362</v>
      </c>
      <c r="B366" s="4" t="s">
        <v>177</v>
      </c>
      <c r="C366" s="4" t="s">
        <v>178</v>
      </c>
      <c r="D366" s="7" t="s">
        <v>489</v>
      </c>
      <c r="E366" s="4" t="s">
        <v>24</v>
      </c>
      <c r="F366" s="9" t="s">
        <v>26</v>
      </c>
      <c r="G366" s="4">
        <v>363</v>
      </c>
      <c r="H366" s="4">
        <v>5</v>
      </c>
      <c r="I366" s="4" t="s">
        <v>934</v>
      </c>
      <c r="J366" s="4" t="str">
        <f t="shared" si="10"/>
        <v>4141040001</v>
      </c>
      <c r="K366" s="1" t="s">
        <v>12</v>
      </c>
      <c r="L366" s="4" t="s">
        <v>174</v>
      </c>
      <c r="M366" s="8" t="s">
        <v>885</v>
      </c>
      <c r="N366" s="4" t="str">
        <f t="shared" si="11"/>
        <v>('1362','RPT_009', 'LabaTrialBalance3rdSegment', '4141040001 - Pendapatan Event &amp; Promotion', 'Pendapatan Usaha', 'Pemilik dan Operator', '363', '5', 'AND ma.main_account_id IN (4141040001)', 'E', 'Operator Atraksi - Fasilitas', 0, 0),</v>
      </c>
    </row>
    <row r="367" spans="1:14" ht="31.2" x14ac:dyDescent="0.3">
      <c r="A367" s="4">
        <v>1363</v>
      </c>
      <c r="B367" s="4" t="s">
        <v>177</v>
      </c>
      <c r="C367" s="4" t="s">
        <v>178</v>
      </c>
      <c r="D367" s="5" t="s">
        <v>28</v>
      </c>
      <c r="E367" s="4" t="s">
        <v>24</v>
      </c>
      <c r="F367" s="9" t="s">
        <v>26</v>
      </c>
      <c r="G367" s="4">
        <v>364</v>
      </c>
      <c r="H367" s="4">
        <v>6</v>
      </c>
      <c r="I367" s="4" t="s">
        <v>934</v>
      </c>
      <c r="J367" s="4" t="str">
        <f t="shared" si="10"/>
        <v>4144000000</v>
      </c>
      <c r="K367" s="1" t="s">
        <v>12</v>
      </c>
      <c r="L367" s="4" t="s">
        <v>174</v>
      </c>
      <c r="M367" s="8" t="s">
        <v>886</v>
      </c>
      <c r="N367" s="4" t="str">
        <f t="shared" si="11"/>
        <v>('1363','RPT_009', 'LabaTrialBalance3rdSegment', '4144000000 -  Operator Atraksi - Event Organiser', 'Pendapatan Usaha', 'Pemilik dan Operator', '364', '6', 'AND ma.main_account_id IN (4144000000)', 'E', 'Operator Atraksi - Event Organiser', 0, 0),</v>
      </c>
    </row>
    <row r="368" spans="1:14" ht="31.2" x14ac:dyDescent="0.3">
      <c r="A368" s="4">
        <v>1364</v>
      </c>
      <c r="B368" s="4" t="s">
        <v>177</v>
      </c>
      <c r="C368" s="4" t="s">
        <v>178</v>
      </c>
      <c r="D368" s="6" t="s">
        <v>490</v>
      </c>
      <c r="E368" s="4" t="s">
        <v>24</v>
      </c>
      <c r="F368" s="9" t="s">
        <v>26</v>
      </c>
      <c r="G368" s="4">
        <v>365</v>
      </c>
      <c r="H368" s="4">
        <v>7</v>
      </c>
      <c r="I368" s="4" t="s">
        <v>934</v>
      </c>
      <c r="J368" s="4" t="str">
        <f t="shared" si="10"/>
        <v>4144010000</v>
      </c>
      <c r="K368" s="1" t="s">
        <v>12</v>
      </c>
      <c r="L368" s="4" t="s">
        <v>174</v>
      </c>
      <c r="M368" s="8" t="s">
        <v>886</v>
      </c>
      <c r="N368" s="4" t="str">
        <f t="shared" si="11"/>
        <v>('1364','RPT_009', 'LabaTrialBalance3rdSegment', '4144010000 -  Ticket Revenue', 'Pendapatan Usaha', 'Pemilik dan Operator', '365', '7', 'AND ma.main_account_id IN (4144010000)', 'E', 'Operator Atraksi - Event Organiser', 0, 0),</v>
      </c>
    </row>
    <row r="369" spans="1:14" ht="31.2" x14ac:dyDescent="0.3">
      <c r="A369" s="4">
        <v>1365</v>
      </c>
      <c r="B369" s="4" t="s">
        <v>177</v>
      </c>
      <c r="C369" s="4" t="s">
        <v>178</v>
      </c>
      <c r="D369" s="7" t="s">
        <v>491</v>
      </c>
      <c r="E369" s="4" t="s">
        <v>24</v>
      </c>
      <c r="F369" s="9" t="s">
        <v>26</v>
      </c>
      <c r="G369" s="4">
        <v>366</v>
      </c>
      <c r="H369" s="4">
        <v>8</v>
      </c>
      <c r="I369" s="4" t="s">
        <v>934</v>
      </c>
      <c r="J369" s="4" t="str">
        <f t="shared" si="10"/>
        <v>4144010001</v>
      </c>
      <c r="K369" s="1" t="s">
        <v>12</v>
      </c>
      <c r="L369" s="4" t="s">
        <v>174</v>
      </c>
      <c r="M369" s="8" t="s">
        <v>886</v>
      </c>
      <c r="N369" s="4" t="str">
        <f t="shared" si="11"/>
        <v>('1365','RPT_009', 'LabaTrialBalance3rdSegment', '4144010001 - Race - Pendapatan Tiket Event', 'Pendapatan Usaha', 'Pemilik dan Operator', '366', '8', 'AND ma.main_account_id IN (4144010001)', 'E', 'Operator Atraksi - Event Organiser', 0, 0),</v>
      </c>
    </row>
    <row r="370" spans="1:14" ht="31.2" x14ac:dyDescent="0.3">
      <c r="A370" s="4">
        <v>1366</v>
      </c>
      <c r="B370" s="4" t="s">
        <v>177</v>
      </c>
      <c r="C370" s="4" t="s">
        <v>178</v>
      </c>
      <c r="D370" s="6" t="s">
        <v>492</v>
      </c>
      <c r="E370" s="4" t="s">
        <v>24</v>
      </c>
      <c r="F370" s="9" t="s">
        <v>26</v>
      </c>
      <c r="G370" s="4">
        <v>367</v>
      </c>
      <c r="H370" s="4">
        <v>9</v>
      </c>
      <c r="I370" s="4" t="s">
        <v>934</v>
      </c>
      <c r="J370" s="4" t="str">
        <f t="shared" si="10"/>
        <v>4144020000</v>
      </c>
      <c r="K370" s="1" t="s">
        <v>12</v>
      </c>
      <c r="L370" s="4" t="s">
        <v>174</v>
      </c>
      <c r="M370" s="8" t="s">
        <v>886</v>
      </c>
      <c r="N370" s="4" t="str">
        <f t="shared" si="11"/>
        <v>('1366','RPT_009', 'LabaTrialBalance3rdSegment', '4144020000 -  Sponsorship Revenue', 'Pendapatan Usaha', 'Pemilik dan Operator', '367', '9', 'AND ma.main_account_id IN (4144020000)', 'E', 'Operator Atraksi - Event Organiser', 0, 0),</v>
      </c>
    </row>
    <row r="371" spans="1:14" ht="31.2" x14ac:dyDescent="0.3">
      <c r="A371" s="4">
        <v>1367</v>
      </c>
      <c r="B371" s="4" t="s">
        <v>177</v>
      </c>
      <c r="C371" s="4" t="s">
        <v>178</v>
      </c>
      <c r="D371" s="7" t="s">
        <v>493</v>
      </c>
      <c r="E371" s="4" t="s">
        <v>24</v>
      </c>
      <c r="F371" s="9" t="s">
        <v>26</v>
      </c>
      <c r="G371" s="4">
        <v>368</v>
      </c>
      <c r="H371" s="4">
        <v>10</v>
      </c>
      <c r="I371" s="4" t="s">
        <v>934</v>
      </c>
      <c r="J371" s="4" t="str">
        <f t="shared" si="10"/>
        <v>4144020001</v>
      </c>
      <c r="K371" s="1" t="s">
        <v>12</v>
      </c>
      <c r="L371" s="4" t="s">
        <v>174</v>
      </c>
      <c r="M371" s="8" t="s">
        <v>886</v>
      </c>
      <c r="N371" s="4" t="str">
        <f t="shared" si="11"/>
        <v>('1367','RPT_009', 'LabaTrialBalance3rdSegment', '4144020001 - Pendapatan Sponsorship', 'Pendapatan Usaha', 'Pemilik dan Operator', '368', '10', 'AND ma.main_account_id IN (4144020001)', 'E', 'Operator Atraksi - Event Organiser', 0, 0),</v>
      </c>
    </row>
    <row r="372" spans="1:14" ht="31.2" x14ac:dyDescent="0.3">
      <c r="A372" s="4">
        <v>1368</v>
      </c>
      <c r="B372" s="4" t="s">
        <v>177</v>
      </c>
      <c r="C372" s="4" t="s">
        <v>178</v>
      </c>
      <c r="D372" s="6" t="s">
        <v>494</v>
      </c>
      <c r="E372" s="4" t="s">
        <v>24</v>
      </c>
      <c r="F372" s="9" t="s">
        <v>26</v>
      </c>
      <c r="G372" s="4">
        <v>369</v>
      </c>
      <c r="H372" s="4">
        <v>11</v>
      </c>
      <c r="I372" s="4" t="s">
        <v>934</v>
      </c>
      <c r="J372" s="4" t="str">
        <f t="shared" si="10"/>
        <v>4144030000</v>
      </c>
      <c r="K372" s="1" t="s">
        <v>12</v>
      </c>
      <c r="L372" s="4" t="s">
        <v>174</v>
      </c>
      <c r="M372" s="8" t="s">
        <v>886</v>
      </c>
      <c r="N372" s="4" t="str">
        <f t="shared" si="11"/>
        <v>('1368','RPT_009', 'LabaTrialBalance3rdSegment', '4144030000 -  Event', 'Pendapatan Usaha', 'Pemilik dan Operator', '369', '11', 'AND ma.main_account_id IN (4144030000)', 'E', 'Operator Atraksi - Event Organiser', 0, 0),</v>
      </c>
    </row>
    <row r="373" spans="1:14" ht="31.2" x14ac:dyDescent="0.3">
      <c r="A373" s="4">
        <v>1369</v>
      </c>
      <c r="B373" s="4" t="s">
        <v>177</v>
      </c>
      <c r="C373" s="4" t="s">
        <v>178</v>
      </c>
      <c r="D373" s="7" t="s">
        <v>495</v>
      </c>
      <c r="E373" s="4" t="s">
        <v>24</v>
      </c>
      <c r="F373" s="9" t="s">
        <v>26</v>
      </c>
      <c r="G373" s="4">
        <v>370</v>
      </c>
      <c r="H373" s="4">
        <v>12</v>
      </c>
      <c r="I373" s="4" t="s">
        <v>934</v>
      </c>
      <c r="J373" s="4" t="str">
        <f t="shared" si="10"/>
        <v>4144030001</v>
      </c>
      <c r="K373" s="1" t="s">
        <v>12</v>
      </c>
      <c r="L373" s="4" t="s">
        <v>174</v>
      </c>
      <c r="M373" s="8" t="s">
        <v>886</v>
      </c>
      <c r="N373" s="4" t="str">
        <f t="shared" si="11"/>
        <v>('1369','RPT_009', 'LabaTrialBalance3rdSegment', '4144030001 - Pendapatan Event &amp; Promotion', 'Pendapatan Usaha', 'Pemilik dan Operator', '370', '12', 'AND ma.main_account_id IN (4144030001)', 'E', 'Operator Atraksi - Event Organiser', 0, 0),</v>
      </c>
    </row>
    <row r="374" spans="1:14" ht="31.2" x14ac:dyDescent="0.3">
      <c r="A374" s="4">
        <v>1370</v>
      </c>
      <c r="B374" s="4" t="s">
        <v>177</v>
      </c>
      <c r="C374" s="4" t="s">
        <v>178</v>
      </c>
      <c r="D374" s="6" t="s">
        <v>496</v>
      </c>
      <c r="E374" s="4" t="s">
        <v>24</v>
      </c>
      <c r="F374" s="9" t="s">
        <v>26</v>
      </c>
      <c r="G374" s="4">
        <v>371</v>
      </c>
      <c r="H374" s="4">
        <v>13</v>
      </c>
      <c r="I374" s="4" t="s">
        <v>934</v>
      </c>
      <c r="J374" s="4" t="str">
        <f t="shared" si="10"/>
        <v>4144040000</v>
      </c>
      <c r="K374" s="1" t="s">
        <v>12</v>
      </c>
      <c r="L374" s="4" t="s">
        <v>174</v>
      </c>
      <c r="M374" s="8" t="s">
        <v>886</v>
      </c>
      <c r="N374" s="4" t="str">
        <f t="shared" si="11"/>
        <v>('1370','RPT_009', 'LabaTrialBalance3rdSegment', '4144040000 -  Sewa', 'Pendapatan Usaha', 'Pemilik dan Operator', '371', '13', 'AND ma.main_account_id IN (4144040000)', 'E', 'Operator Atraksi - Event Organiser', 0, 0),</v>
      </c>
    </row>
    <row r="375" spans="1:14" ht="31.2" x14ac:dyDescent="0.3">
      <c r="A375" s="4">
        <v>1371</v>
      </c>
      <c r="B375" s="4" t="s">
        <v>177</v>
      </c>
      <c r="C375" s="4" t="s">
        <v>178</v>
      </c>
      <c r="D375" s="7" t="s">
        <v>497</v>
      </c>
      <c r="E375" s="4" t="s">
        <v>24</v>
      </c>
      <c r="F375" s="9" t="s">
        <v>26</v>
      </c>
      <c r="G375" s="4">
        <v>372</v>
      </c>
      <c r="H375" s="4">
        <v>14</v>
      </c>
      <c r="I375" s="4" t="s">
        <v>934</v>
      </c>
      <c r="J375" s="4" t="str">
        <f t="shared" si="10"/>
        <v>4144040001</v>
      </c>
      <c r="K375" s="1" t="s">
        <v>12</v>
      </c>
      <c r="L375" s="4" t="s">
        <v>174</v>
      </c>
      <c r="M375" s="8" t="s">
        <v>886</v>
      </c>
      <c r="N375" s="4" t="str">
        <f t="shared" si="11"/>
        <v>('1371','RPT_009', 'LabaTrialBalance3rdSegment', '4144040001 - Pendapatan Sewa Lahan', 'Pendapatan Usaha', 'Pemilik dan Operator', '372', '14', 'AND ma.main_account_id IN (4144040001)', 'E', 'Operator Atraksi - Event Organiser', 0, 0),</v>
      </c>
    </row>
    <row r="376" spans="1:14" ht="31.2" x14ac:dyDescent="0.3">
      <c r="A376" s="4">
        <v>1372</v>
      </c>
      <c r="B376" s="4" t="s">
        <v>177</v>
      </c>
      <c r="C376" s="4" t="s">
        <v>178</v>
      </c>
      <c r="D376" s="6" t="s">
        <v>498</v>
      </c>
      <c r="E376" s="4" t="s">
        <v>24</v>
      </c>
      <c r="F376" s="9" t="s">
        <v>26</v>
      </c>
      <c r="G376" s="4">
        <v>373</v>
      </c>
      <c r="H376" s="4">
        <v>15</v>
      </c>
      <c r="I376" s="4" t="s">
        <v>934</v>
      </c>
      <c r="J376" s="4" t="str">
        <f t="shared" si="10"/>
        <v>4144070000</v>
      </c>
      <c r="K376" s="1" t="s">
        <v>12</v>
      </c>
      <c r="L376" s="4" t="s">
        <v>174</v>
      </c>
      <c r="M376" s="8" t="s">
        <v>886</v>
      </c>
      <c r="N376" s="4" t="str">
        <f t="shared" si="11"/>
        <v>('1372','RPT_009', 'LabaTrialBalance3rdSegment', '4144070000 -  Technical Fee', 'Pendapatan Usaha', 'Pemilik dan Operator', '373', '15', 'AND ma.main_account_id IN (4144070000)', 'E', 'Operator Atraksi - Event Organiser', 0, 0),</v>
      </c>
    </row>
    <row r="377" spans="1:14" ht="31.2" x14ac:dyDescent="0.3">
      <c r="A377" s="4">
        <v>1373</v>
      </c>
      <c r="B377" s="4" t="s">
        <v>177</v>
      </c>
      <c r="C377" s="4" t="s">
        <v>178</v>
      </c>
      <c r="D377" s="7" t="s">
        <v>499</v>
      </c>
      <c r="E377" s="4" t="s">
        <v>24</v>
      </c>
      <c r="F377" s="9" t="s">
        <v>26</v>
      </c>
      <c r="G377" s="4">
        <v>374</v>
      </c>
      <c r="H377" s="4">
        <v>16</v>
      </c>
      <c r="I377" s="4" t="s">
        <v>934</v>
      </c>
      <c r="J377" s="4" t="str">
        <f t="shared" si="10"/>
        <v>4144070001</v>
      </c>
      <c r="K377" s="1" t="s">
        <v>12</v>
      </c>
      <c r="L377" s="4" t="s">
        <v>174</v>
      </c>
      <c r="M377" s="8" t="s">
        <v>886</v>
      </c>
      <c r="N377" s="4" t="str">
        <f t="shared" si="11"/>
        <v>('1373','RPT_009', 'LabaTrialBalance3rdSegment', '4144070001 - Pendapatan Technical Fee (Race)', 'Pendapatan Usaha', 'Pemilik dan Operator', '374', '16', 'AND ma.main_account_id IN (4144070001)', 'E', 'Operator Atraksi - Event Organiser', 0, 0),</v>
      </c>
    </row>
    <row r="378" spans="1:14" ht="31.2" x14ac:dyDescent="0.3">
      <c r="A378" s="4">
        <v>1374</v>
      </c>
      <c r="B378" s="4" t="s">
        <v>177</v>
      </c>
      <c r="C378" s="4" t="s">
        <v>178</v>
      </c>
      <c r="D378" s="6" t="s">
        <v>500</v>
      </c>
      <c r="E378" s="4" t="s">
        <v>24</v>
      </c>
      <c r="F378" s="9" t="s">
        <v>26</v>
      </c>
      <c r="G378" s="4">
        <v>375</v>
      </c>
      <c r="H378" s="4">
        <v>17</v>
      </c>
      <c r="I378" s="4" t="s">
        <v>934</v>
      </c>
      <c r="J378" s="4" t="str">
        <f t="shared" si="10"/>
        <v>4144080000</v>
      </c>
      <c r="K378" s="1" t="s">
        <v>12</v>
      </c>
      <c r="L378" s="4" t="s">
        <v>174</v>
      </c>
      <c r="M378" s="8" t="s">
        <v>886</v>
      </c>
      <c r="N378" s="4" t="str">
        <f t="shared" si="11"/>
        <v>('1374','RPT_009', 'LabaTrialBalance3rdSegment', '4144080000 -  Sewa Peralatan Event', 'Pendapatan Usaha', 'Pemilik dan Operator', '375', '17', 'AND ma.main_account_id IN (4144080000)', 'E', 'Operator Atraksi - Event Organiser', 0, 0),</v>
      </c>
    </row>
    <row r="379" spans="1:14" ht="31.2" x14ac:dyDescent="0.3">
      <c r="A379" s="4">
        <v>1375</v>
      </c>
      <c r="B379" s="4" t="s">
        <v>177</v>
      </c>
      <c r="C379" s="4" t="s">
        <v>178</v>
      </c>
      <c r="D379" s="7" t="s">
        <v>501</v>
      </c>
      <c r="E379" s="4" t="s">
        <v>24</v>
      </c>
      <c r="F379" s="9" t="s">
        <v>26</v>
      </c>
      <c r="G379" s="4">
        <v>376</v>
      </c>
      <c r="H379" s="4">
        <v>18</v>
      </c>
      <c r="I379" s="4" t="s">
        <v>934</v>
      </c>
      <c r="J379" s="4" t="str">
        <f t="shared" si="10"/>
        <v>4144080001</v>
      </c>
      <c r="K379" s="1" t="s">
        <v>12</v>
      </c>
      <c r="L379" s="4" t="s">
        <v>174</v>
      </c>
      <c r="M379" s="8" t="s">
        <v>886</v>
      </c>
      <c r="N379" s="4" t="str">
        <f t="shared" si="11"/>
        <v>('1375','RPT_009', 'LabaTrialBalance3rdSegment', '4144080001 - Pendapatan Sewa Peralatan Event', 'Pendapatan Usaha', 'Pemilik dan Operator', '376', '18', 'AND ma.main_account_id IN (4144080001)', 'E', 'Operator Atraksi - Event Organiser', 0, 0),</v>
      </c>
    </row>
    <row r="380" spans="1:14" ht="31.2" x14ac:dyDescent="0.3">
      <c r="A380" s="4">
        <v>1376</v>
      </c>
      <c r="B380" s="4" t="s">
        <v>177</v>
      </c>
      <c r="C380" s="4" t="s">
        <v>178</v>
      </c>
      <c r="D380" s="6" t="s">
        <v>502</v>
      </c>
      <c r="E380" s="4" t="s">
        <v>24</v>
      </c>
      <c r="F380" s="9" t="s">
        <v>26</v>
      </c>
      <c r="G380" s="4">
        <v>377</v>
      </c>
      <c r="H380" s="4">
        <v>19</v>
      </c>
      <c r="I380" s="4" t="s">
        <v>934</v>
      </c>
      <c r="J380" s="4" t="str">
        <f t="shared" si="10"/>
        <v>4144090000</v>
      </c>
      <c r="K380" s="1" t="s">
        <v>12</v>
      </c>
      <c r="L380" s="4" t="s">
        <v>174</v>
      </c>
      <c r="M380" s="8" t="s">
        <v>886</v>
      </c>
      <c r="N380" s="4" t="str">
        <f t="shared" si="11"/>
        <v>('1376','RPT_009', 'LabaTrialBalance3rdSegment', '4144090000 -  Visa Handling', 'Pendapatan Usaha', 'Pemilik dan Operator', '377', '19', 'AND ma.main_account_id IN (4144090000)', 'E', 'Operator Atraksi - Event Organiser', 0, 0),</v>
      </c>
    </row>
    <row r="381" spans="1:14" ht="31.2" x14ac:dyDescent="0.3">
      <c r="A381" s="4">
        <v>1377</v>
      </c>
      <c r="B381" s="4" t="s">
        <v>177</v>
      </c>
      <c r="C381" s="4" t="s">
        <v>178</v>
      </c>
      <c r="D381" s="7" t="s">
        <v>503</v>
      </c>
      <c r="E381" s="4" t="s">
        <v>24</v>
      </c>
      <c r="F381" s="9" t="s">
        <v>26</v>
      </c>
      <c r="G381" s="4">
        <v>378</v>
      </c>
      <c r="H381" s="4">
        <v>20</v>
      </c>
      <c r="I381" s="4" t="s">
        <v>934</v>
      </c>
      <c r="J381" s="4" t="str">
        <f t="shared" si="10"/>
        <v>4144090001</v>
      </c>
      <c r="K381" s="1" t="s">
        <v>12</v>
      </c>
      <c r="L381" s="4" t="s">
        <v>174</v>
      </c>
      <c r="M381" s="8" t="s">
        <v>886</v>
      </c>
      <c r="N381" s="4" t="str">
        <f t="shared" si="11"/>
        <v>('1377','RPT_009', 'LabaTrialBalance3rdSegment', '4144090001 - Race - Pendapatan Visa Handling', 'Pendapatan Usaha', 'Pemilik dan Operator', '378', '20', 'AND ma.main_account_id IN (4144090001)', 'E', 'Operator Atraksi - Event Organiser', 0, 0),</v>
      </c>
    </row>
    <row r="382" spans="1:14" ht="31.2" x14ac:dyDescent="0.3">
      <c r="A382" s="4">
        <v>1378</v>
      </c>
      <c r="B382" s="4" t="s">
        <v>177</v>
      </c>
      <c r="C382" s="4" t="s">
        <v>178</v>
      </c>
      <c r="D382" s="5" t="s">
        <v>156</v>
      </c>
      <c r="E382" s="4" t="s">
        <v>24</v>
      </c>
      <c r="F382" s="9" t="s">
        <v>26</v>
      </c>
      <c r="G382" s="4">
        <v>379</v>
      </c>
      <c r="H382" s="4">
        <v>21</v>
      </c>
      <c r="I382" s="4" t="s">
        <v>934</v>
      </c>
      <c r="J382" s="4" t="str">
        <f t="shared" si="10"/>
        <v>4149000000</v>
      </c>
      <c r="K382" s="1" t="s">
        <v>12</v>
      </c>
      <c r="L382" s="4" t="s">
        <v>174</v>
      </c>
      <c r="M382" s="8" t="s">
        <v>887</v>
      </c>
      <c r="N382" s="4" t="str">
        <f t="shared" si="11"/>
        <v>('1378','RPT_009', 'LabaTrialBalance3rdSegment', '4149000000 -  Operator Atraksi - Pendapatan Usaha Lainnya', 'Pendapatan Usaha', 'Pemilik dan Operator', '379', '21', 'AND ma.main_account_id IN (4149000000)', 'E', 'Operator Atraksi - Pendapatan Usaha Lainnya', 0, 0),</v>
      </c>
    </row>
    <row r="383" spans="1:14" ht="31.2" x14ac:dyDescent="0.3">
      <c r="A383" s="4">
        <v>1379</v>
      </c>
      <c r="B383" s="4" t="s">
        <v>177</v>
      </c>
      <c r="C383" s="4" t="s">
        <v>178</v>
      </c>
      <c r="D383" s="6" t="s">
        <v>504</v>
      </c>
      <c r="E383" s="4" t="s">
        <v>24</v>
      </c>
      <c r="F383" s="9" t="s">
        <v>26</v>
      </c>
      <c r="G383" s="4">
        <v>380</v>
      </c>
      <c r="H383" s="4">
        <v>22</v>
      </c>
      <c r="I383" s="4" t="s">
        <v>934</v>
      </c>
      <c r="J383" s="4" t="str">
        <f t="shared" si="10"/>
        <v>4149990000</v>
      </c>
      <c r="K383" s="1" t="s">
        <v>12</v>
      </c>
      <c r="L383" s="4" t="s">
        <v>174</v>
      </c>
      <c r="M383" s="8" t="s">
        <v>887</v>
      </c>
      <c r="N383" s="4" t="str">
        <f t="shared" si="11"/>
        <v>('1379','RPT_009', 'LabaTrialBalance3rdSegment', '4149990000 -  Pendapatan Usaha Lainnya', 'Pendapatan Usaha', 'Pemilik dan Operator', '380', '22', 'AND ma.main_account_id IN (4149990000)', 'E', 'Operator Atraksi - Pendapatan Usaha Lainnya', 0, 0),</v>
      </c>
    </row>
    <row r="384" spans="1:14" ht="31.2" x14ac:dyDescent="0.3">
      <c r="A384" s="4">
        <v>1380</v>
      </c>
      <c r="B384" s="4" t="s">
        <v>177</v>
      </c>
      <c r="C384" s="4" t="s">
        <v>178</v>
      </c>
      <c r="D384" s="7" t="s">
        <v>505</v>
      </c>
      <c r="E384" s="4" t="s">
        <v>24</v>
      </c>
      <c r="F384" s="9" t="s">
        <v>26</v>
      </c>
      <c r="G384" s="4">
        <v>381</v>
      </c>
      <c r="H384" s="4">
        <v>23</v>
      </c>
      <c r="I384" s="4" t="s">
        <v>934</v>
      </c>
      <c r="J384" s="4" t="str">
        <f t="shared" si="10"/>
        <v>4149990002</v>
      </c>
      <c r="K384" s="1" t="s">
        <v>12</v>
      </c>
      <c r="L384" s="4" t="s">
        <v>174</v>
      </c>
      <c r="M384" s="8" t="s">
        <v>887</v>
      </c>
      <c r="N384" s="4" t="str">
        <f t="shared" si="11"/>
        <v>('1380','RPT_009', 'LabaTrialBalance3rdSegment', '4149990002 - Pendapatan Technical Advisor Fee', 'Pendapatan Usaha', 'Pemilik dan Operator', '381', '23', 'AND ma.main_account_id IN (4149990002)', 'E', 'Operator Atraksi - Pendapatan Usaha Lainnya', 0, 0),</v>
      </c>
    </row>
    <row r="385" spans="1:14" ht="31.2" x14ac:dyDescent="0.3">
      <c r="A385" s="4">
        <v>1381</v>
      </c>
      <c r="B385" s="4" t="s">
        <v>177</v>
      </c>
      <c r="C385" s="4" t="s">
        <v>178</v>
      </c>
      <c r="D385" s="5" t="s">
        <v>29</v>
      </c>
      <c r="E385" s="4" t="s">
        <v>24</v>
      </c>
      <c r="F385" s="9" t="s">
        <v>26</v>
      </c>
      <c r="G385" s="4">
        <v>382</v>
      </c>
      <c r="H385" s="4">
        <v>24</v>
      </c>
      <c r="I385" s="4" t="s">
        <v>934</v>
      </c>
      <c r="J385" s="4" t="str">
        <f t="shared" si="10"/>
        <v>4161000000</v>
      </c>
      <c r="K385" s="1" t="s">
        <v>12</v>
      </c>
      <c r="L385" s="4" t="s">
        <v>174</v>
      </c>
      <c r="M385" s="8" t="s">
        <v>888</v>
      </c>
      <c r="N385" s="4" t="str">
        <f t="shared" si="11"/>
        <v>('1381','RPT_009', 'LabaTrialBalance3rdSegment', '4161000000 -  Pengembang Kawasan Wisata - Operasional Property', 'Pendapatan Usaha', 'Pemilik dan Operator', '382', '24', 'AND ma.main_account_id IN (4161000000)', 'E', 'Pengembang Kawasan Wisata - Operasional Property', 0, 0),</v>
      </c>
    </row>
    <row r="386" spans="1:14" ht="31.2" x14ac:dyDescent="0.3">
      <c r="A386" s="4">
        <v>1382</v>
      </c>
      <c r="B386" s="4" t="s">
        <v>177</v>
      </c>
      <c r="C386" s="4" t="s">
        <v>178</v>
      </c>
      <c r="D386" s="6" t="s">
        <v>506</v>
      </c>
      <c r="E386" s="4" t="s">
        <v>24</v>
      </c>
      <c r="F386" s="9" t="s">
        <v>26</v>
      </c>
      <c r="G386" s="4">
        <v>383</v>
      </c>
      <c r="H386" s="4">
        <v>25</v>
      </c>
      <c r="I386" s="4" t="s">
        <v>934</v>
      </c>
      <c r="J386" s="4" t="str">
        <f t="shared" si="10"/>
        <v>4161010000</v>
      </c>
      <c r="K386" s="1" t="s">
        <v>12</v>
      </c>
      <c r="L386" s="4" t="s">
        <v>174</v>
      </c>
      <c r="M386" s="8" t="s">
        <v>888</v>
      </c>
      <c r="N386" s="4" t="str">
        <f t="shared" si="11"/>
        <v>('1382','RPT_009', 'LabaTrialBalance3rdSegment', '4161010000 -  Sewa', 'Pendapatan Usaha', 'Pemilik dan Operator', '383', '25', 'AND ma.main_account_id IN (4161010000)', 'E', 'Pengembang Kawasan Wisata - Operasional Property', 0, 0),</v>
      </c>
    </row>
    <row r="387" spans="1:14" ht="31.2" x14ac:dyDescent="0.3">
      <c r="A387" s="4">
        <v>1383</v>
      </c>
      <c r="B387" s="4" t="s">
        <v>177</v>
      </c>
      <c r="C387" s="4" t="s">
        <v>178</v>
      </c>
      <c r="D387" s="7" t="s">
        <v>507</v>
      </c>
      <c r="E387" s="4" t="s">
        <v>24</v>
      </c>
      <c r="F387" s="9" t="s">
        <v>26</v>
      </c>
      <c r="G387" s="4">
        <v>384</v>
      </c>
      <c r="H387" s="4">
        <v>26</v>
      </c>
      <c r="I387" s="4" t="s">
        <v>934</v>
      </c>
      <c r="J387" s="4" t="str">
        <f t="shared" si="10"/>
        <v>4161010001</v>
      </c>
      <c r="K387" s="1" t="s">
        <v>12</v>
      </c>
      <c r="L387" s="4" t="s">
        <v>174</v>
      </c>
      <c r="M387" s="8" t="s">
        <v>888</v>
      </c>
      <c r="N387" s="4" t="str">
        <f t="shared" si="11"/>
        <v>('1383','RPT_009', 'LabaTrialBalance3rdSegment', '4161010001 - Pendapatan Sewa Lahan', 'Pendapatan Usaha', 'Pemilik dan Operator', '384', '26', 'AND ma.main_account_id IN (4161010001)', 'E', 'Pengembang Kawasan Wisata - Operasional Property', 0, 0),</v>
      </c>
    </row>
    <row r="388" spans="1:14" ht="31.2" x14ac:dyDescent="0.3">
      <c r="A388" s="4">
        <v>1384</v>
      </c>
      <c r="B388" s="4" t="s">
        <v>177</v>
      </c>
      <c r="C388" s="4" t="s">
        <v>178</v>
      </c>
      <c r="D388" s="6" t="s">
        <v>508</v>
      </c>
      <c r="E388" s="4" t="s">
        <v>24</v>
      </c>
      <c r="F388" s="9" t="s">
        <v>26</v>
      </c>
      <c r="G388" s="4">
        <v>385</v>
      </c>
      <c r="H388" s="4">
        <v>27</v>
      </c>
      <c r="I388" s="4" t="s">
        <v>934</v>
      </c>
      <c r="J388" s="4" t="str">
        <f t="shared" ref="J388:J451" si="12">_xlfn.TEXTBEFORE(D388," -")</f>
        <v>4161020000</v>
      </c>
      <c r="K388" s="1" t="s">
        <v>12</v>
      </c>
      <c r="L388" s="4" t="s">
        <v>174</v>
      </c>
      <c r="M388" s="8" t="s">
        <v>888</v>
      </c>
      <c r="N388" s="4" t="str">
        <f t="shared" si="11"/>
        <v>('1384','RPT_009', 'LabaTrialBalance3rdSegment', '4161020000 -  Revenue Sharing', 'Pendapatan Usaha', 'Pemilik dan Operator', '385', '27', 'AND ma.main_account_id IN (4161020000)', 'E', 'Pengembang Kawasan Wisata - Operasional Property', 0, 0),</v>
      </c>
    </row>
    <row r="389" spans="1:14" ht="31.2" x14ac:dyDescent="0.3">
      <c r="A389" s="4">
        <v>1385</v>
      </c>
      <c r="B389" s="4" t="s">
        <v>177</v>
      </c>
      <c r="C389" s="4" t="s">
        <v>178</v>
      </c>
      <c r="D389" s="7" t="s">
        <v>509</v>
      </c>
      <c r="E389" s="4" t="s">
        <v>24</v>
      </c>
      <c r="F389" s="9" t="s">
        <v>26</v>
      </c>
      <c r="G389" s="4">
        <v>386</v>
      </c>
      <c r="H389" s="4">
        <v>28</v>
      </c>
      <c r="I389" s="4" t="s">
        <v>934</v>
      </c>
      <c r="J389" s="4" t="str">
        <f t="shared" si="12"/>
        <v>4161020001</v>
      </c>
      <c r="K389" s="1" t="s">
        <v>12</v>
      </c>
      <c r="L389" s="4" t="s">
        <v>174</v>
      </c>
      <c r="M389" s="8" t="s">
        <v>888</v>
      </c>
      <c r="N389" s="4" t="str">
        <f t="shared" ref="N389:N452" si="13">"('"&amp;A389&amp;"','"&amp;B389&amp;"', '"&amp;C389&amp;"', '"&amp;D389&amp;"', '"&amp;E389&amp;"', '"&amp;F389&amp;"', '"&amp;G389&amp;"', '"&amp;H389&amp;"', '"&amp;I389&amp;J389&amp;K389&amp;"', '"&amp;L389&amp;"', '"&amp;M389&amp;"', 0, 0),"</f>
        <v>('1385','RPT_009', 'LabaTrialBalance3rdSegment', '4161020001 - Revenue Sharing - Others', 'Pendapatan Usaha', 'Pemilik dan Operator', '386', '28', 'AND ma.main_account_id IN (4161020001)', 'E', 'Pengembang Kawasan Wisata - Operasional Property', 0, 0),</v>
      </c>
    </row>
    <row r="390" spans="1:14" ht="31.2" x14ac:dyDescent="0.3">
      <c r="A390" s="4">
        <v>1386</v>
      </c>
      <c r="B390" s="4" t="s">
        <v>177</v>
      </c>
      <c r="C390" s="4" t="s">
        <v>178</v>
      </c>
      <c r="D390" s="6" t="s">
        <v>510</v>
      </c>
      <c r="E390" s="4" t="s">
        <v>24</v>
      </c>
      <c r="F390" s="9" t="s">
        <v>26</v>
      </c>
      <c r="G390" s="4">
        <v>387</v>
      </c>
      <c r="H390" s="4">
        <v>29</v>
      </c>
      <c r="I390" s="4" t="s">
        <v>934</v>
      </c>
      <c r="J390" s="4" t="str">
        <f t="shared" si="12"/>
        <v>4161030000</v>
      </c>
      <c r="K390" s="1" t="s">
        <v>12</v>
      </c>
      <c r="L390" s="4" t="s">
        <v>174</v>
      </c>
      <c r="M390" s="8" t="s">
        <v>888</v>
      </c>
      <c r="N390" s="4" t="str">
        <f t="shared" si="13"/>
        <v>('1386','RPT_009', 'LabaTrialBalance3rdSegment', '4161030000 -  Maintenance &amp; Service Fee', 'Pendapatan Usaha', 'Pemilik dan Operator', '387', '29', 'AND ma.main_account_id IN (4161030000)', 'E', 'Pengembang Kawasan Wisata - Operasional Property', 0, 0),</v>
      </c>
    </row>
    <row r="391" spans="1:14" ht="31.2" x14ac:dyDescent="0.3">
      <c r="A391" s="4">
        <v>1387</v>
      </c>
      <c r="B391" s="4" t="s">
        <v>177</v>
      </c>
      <c r="C391" s="4" t="s">
        <v>178</v>
      </c>
      <c r="D391" s="7" t="s">
        <v>511</v>
      </c>
      <c r="E391" s="4" t="s">
        <v>24</v>
      </c>
      <c r="F391" s="9" t="s">
        <v>26</v>
      </c>
      <c r="G391" s="4">
        <v>388</v>
      </c>
      <c r="H391" s="4">
        <v>30</v>
      </c>
      <c r="I391" s="4" t="s">
        <v>934</v>
      </c>
      <c r="J391" s="4" t="str">
        <f t="shared" si="12"/>
        <v>4161030001</v>
      </c>
      <c r="K391" s="1" t="s">
        <v>12</v>
      </c>
      <c r="L391" s="4" t="s">
        <v>174</v>
      </c>
      <c r="M391" s="8" t="s">
        <v>888</v>
      </c>
      <c r="N391" s="4" t="str">
        <f t="shared" si="13"/>
        <v>('1387','RPT_009', 'LabaTrialBalance3rdSegment', '4161030001 - Pendapatan Pengelolaan Lingkungan', 'Pendapatan Usaha', 'Pemilik dan Operator', '388', '30', 'AND ma.main_account_id IN (4161030001)', 'E', 'Pengembang Kawasan Wisata - Operasional Property', 0, 0),</v>
      </c>
    </row>
    <row r="392" spans="1:14" ht="31.2" x14ac:dyDescent="0.3">
      <c r="A392" s="4">
        <v>1388</v>
      </c>
      <c r="B392" s="4" t="s">
        <v>177</v>
      </c>
      <c r="C392" s="4" t="s">
        <v>178</v>
      </c>
      <c r="D392" s="5" t="s">
        <v>157</v>
      </c>
      <c r="E392" s="4" t="s">
        <v>24</v>
      </c>
      <c r="F392" s="9" t="s">
        <v>26</v>
      </c>
      <c r="G392" s="4">
        <v>389</v>
      </c>
      <c r="H392" s="4">
        <v>31</v>
      </c>
      <c r="I392" s="4" t="s">
        <v>934</v>
      </c>
      <c r="J392" s="4" t="str">
        <f t="shared" si="12"/>
        <v>4162000000</v>
      </c>
      <c r="K392" s="1" t="s">
        <v>12</v>
      </c>
      <c r="L392" s="4" t="s">
        <v>174</v>
      </c>
      <c r="M392" s="8" t="s">
        <v>889</v>
      </c>
      <c r="N392" s="4" t="str">
        <f t="shared" si="13"/>
        <v>('1388','RPT_009', 'LabaTrialBalance3rdSegment', '4162000000 -  Pengembang Kawasan Wisata - Utility Charge', 'Pendapatan Usaha', 'Pemilik dan Operator', '389', '31', 'AND ma.main_account_id IN (4162000000)', 'E', 'Pengembang Kawasan Wisata - Utility Charge', 0, 0),</v>
      </c>
    </row>
    <row r="393" spans="1:14" ht="31.2" x14ac:dyDescent="0.3">
      <c r="A393" s="4">
        <v>1389</v>
      </c>
      <c r="B393" s="4" t="s">
        <v>177</v>
      </c>
      <c r="C393" s="4" t="s">
        <v>178</v>
      </c>
      <c r="D393" s="6" t="s">
        <v>512</v>
      </c>
      <c r="E393" s="4" t="s">
        <v>24</v>
      </c>
      <c r="F393" s="9" t="s">
        <v>26</v>
      </c>
      <c r="G393" s="4">
        <v>390</v>
      </c>
      <c r="H393" s="4">
        <v>32</v>
      </c>
      <c r="I393" s="4" t="s">
        <v>934</v>
      </c>
      <c r="J393" s="4" t="str">
        <f t="shared" si="12"/>
        <v>4162010000</v>
      </c>
      <c r="K393" s="1" t="s">
        <v>12</v>
      </c>
      <c r="L393" s="4" t="s">
        <v>174</v>
      </c>
      <c r="M393" s="8" t="s">
        <v>889</v>
      </c>
      <c r="N393" s="4" t="str">
        <f t="shared" si="13"/>
        <v>('1389','RPT_009', 'LabaTrialBalance3rdSegment', '4162010000 -  Pendapatan Air', 'Pendapatan Usaha', 'Pemilik dan Operator', '390', '32', 'AND ma.main_account_id IN (4162010000)', 'E', 'Pengembang Kawasan Wisata - Utility Charge', 0, 0),</v>
      </c>
    </row>
    <row r="394" spans="1:14" ht="31.2" x14ac:dyDescent="0.3">
      <c r="A394" s="4">
        <v>1390</v>
      </c>
      <c r="B394" s="4" t="s">
        <v>177</v>
      </c>
      <c r="C394" s="4" t="s">
        <v>178</v>
      </c>
      <c r="D394" s="7" t="s">
        <v>513</v>
      </c>
      <c r="E394" s="4" t="s">
        <v>24</v>
      </c>
      <c r="F394" s="9" t="s">
        <v>26</v>
      </c>
      <c r="G394" s="4">
        <v>391</v>
      </c>
      <c r="H394" s="4">
        <v>33</v>
      </c>
      <c r="I394" s="4" t="s">
        <v>934</v>
      </c>
      <c r="J394" s="4" t="str">
        <f t="shared" si="12"/>
        <v>4162010001</v>
      </c>
      <c r="K394" s="1" t="s">
        <v>12</v>
      </c>
      <c r="L394" s="4" t="s">
        <v>174</v>
      </c>
      <c r="M394" s="8" t="s">
        <v>889</v>
      </c>
      <c r="N394" s="4" t="str">
        <f t="shared" si="13"/>
        <v>('1390','RPT_009', 'LabaTrialBalance3rdSegment', '4162010001 - Pendapatan Air Bersih', 'Pendapatan Usaha', 'Pemilik dan Operator', '391', '33', 'AND ma.main_account_id IN (4162010001)', 'E', 'Pengembang Kawasan Wisata - Utility Charge', 0, 0),</v>
      </c>
    </row>
    <row r="395" spans="1:14" ht="31.2" x14ac:dyDescent="0.3">
      <c r="A395" s="4">
        <v>1391</v>
      </c>
      <c r="B395" s="4" t="s">
        <v>177</v>
      </c>
      <c r="C395" s="4" t="s">
        <v>178</v>
      </c>
      <c r="D395" s="7" t="s">
        <v>514</v>
      </c>
      <c r="E395" s="4" t="s">
        <v>24</v>
      </c>
      <c r="F395" s="9" t="s">
        <v>26</v>
      </c>
      <c r="G395" s="4">
        <v>392</v>
      </c>
      <c r="H395" s="4">
        <v>34</v>
      </c>
      <c r="I395" s="4" t="s">
        <v>934</v>
      </c>
      <c r="J395" s="4" t="str">
        <f t="shared" si="12"/>
        <v>4162010002</v>
      </c>
      <c r="K395" s="1" t="s">
        <v>12</v>
      </c>
      <c r="L395" s="4" t="s">
        <v>174</v>
      </c>
      <c r="M395" s="8" t="s">
        <v>889</v>
      </c>
      <c r="N395" s="4" t="str">
        <f t="shared" si="13"/>
        <v>('1391','RPT_009', 'LabaTrialBalance3rdSegment', '4162010002 - Pendapatan Air Irigasi', 'Pendapatan Usaha', 'Pemilik dan Operator', '392', '34', 'AND ma.main_account_id IN (4162010002)', 'E', 'Pengembang Kawasan Wisata - Utility Charge', 0, 0),</v>
      </c>
    </row>
    <row r="396" spans="1:14" ht="31.2" x14ac:dyDescent="0.3">
      <c r="A396" s="4">
        <v>1392</v>
      </c>
      <c r="B396" s="4" t="s">
        <v>177</v>
      </c>
      <c r="C396" s="4" t="s">
        <v>178</v>
      </c>
      <c r="D396" s="6" t="s">
        <v>515</v>
      </c>
      <c r="E396" s="4" t="s">
        <v>24</v>
      </c>
      <c r="F396" s="9" t="s">
        <v>26</v>
      </c>
      <c r="G396" s="4">
        <v>393</v>
      </c>
      <c r="H396" s="4">
        <v>35</v>
      </c>
      <c r="I396" s="4" t="s">
        <v>934</v>
      </c>
      <c r="J396" s="4" t="str">
        <f t="shared" si="12"/>
        <v>4162020000</v>
      </c>
      <c r="K396" s="1" t="s">
        <v>12</v>
      </c>
      <c r="L396" s="4" t="s">
        <v>174</v>
      </c>
      <c r="M396" s="8" t="s">
        <v>889</v>
      </c>
      <c r="N396" s="4" t="str">
        <f t="shared" si="13"/>
        <v>('1392','RPT_009', 'LabaTrialBalance3rdSegment', '4162020000 -  Maintenance &amp; Service Fee', 'Pendapatan Usaha', 'Pemilik dan Operator', '393', '35', 'AND ma.main_account_id IN (4162020000)', 'E', 'Pengembang Kawasan Wisata - Utility Charge', 0, 0),</v>
      </c>
    </row>
    <row r="397" spans="1:14" ht="31.2" x14ac:dyDescent="0.3">
      <c r="A397" s="4">
        <v>1393</v>
      </c>
      <c r="B397" s="4" t="s">
        <v>177</v>
      </c>
      <c r="C397" s="4" t="s">
        <v>178</v>
      </c>
      <c r="D397" s="7" t="s">
        <v>516</v>
      </c>
      <c r="E397" s="4" t="s">
        <v>24</v>
      </c>
      <c r="F397" s="9" t="s">
        <v>26</v>
      </c>
      <c r="G397" s="4">
        <v>394</v>
      </c>
      <c r="H397" s="4">
        <v>36</v>
      </c>
      <c r="I397" s="4" t="s">
        <v>934</v>
      </c>
      <c r="J397" s="4" t="str">
        <f t="shared" si="12"/>
        <v>4162020001</v>
      </c>
      <c r="K397" s="1" t="s">
        <v>12</v>
      </c>
      <c r="L397" s="4" t="s">
        <v>174</v>
      </c>
      <c r="M397" s="8" t="s">
        <v>889</v>
      </c>
      <c r="N397" s="4" t="str">
        <f t="shared" si="13"/>
        <v>('1393','RPT_009', 'LabaTrialBalance3rdSegment', '4162020001 - Pendapatan Maintenance &amp; Service Fee', 'Pendapatan Usaha', 'Pemilik dan Operator', '394', '36', 'AND ma.main_account_id IN (4162020001)', 'E', 'Pengembang Kawasan Wisata - Utility Charge', 0, 0),</v>
      </c>
    </row>
    <row r="398" spans="1:14" ht="31.2" x14ac:dyDescent="0.3">
      <c r="A398" s="4">
        <v>1394</v>
      </c>
      <c r="B398" s="4" t="s">
        <v>177</v>
      </c>
      <c r="C398" s="4" t="s">
        <v>178</v>
      </c>
      <c r="D398" s="7" t="s">
        <v>517</v>
      </c>
      <c r="E398" s="4" t="s">
        <v>24</v>
      </c>
      <c r="F398" s="9" t="s">
        <v>26</v>
      </c>
      <c r="G398" s="4">
        <v>395</v>
      </c>
      <c r="H398" s="4">
        <v>37</v>
      </c>
      <c r="I398" s="4" t="s">
        <v>934</v>
      </c>
      <c r="J398" s="4" t="str">
        <f t="shared" si="12"/>
        <v>4162020002</v>
      </c>
      <c r="K398" s="1" t="s">
        <v>12</v>
      </c>
      <c r="L398" s="4" t="s">
        <v>174</v>
      </c>
      <c r="M398" s="8" t="s">
        <v>889</v>
      </c>
      <c r="N398" s="4" t="str">
        <f t="shared" si="13"/>
        <v>('1394','RPT_009', 'LabaTrialBalance3rdSegment', '4162020002 - Pendapatan Air Limbah', 'Pendapatan Usaha', 'Pemilik dan Operator', '395', '37', 'AND ma.main_account_id IN (4162020002)', 'E', 'Pengembang Kawasan Wisata - Utility Charge', 0, 0),</v>
      </c>
    </row>
    <row r="399" spans="1:14" ht="31.2" x14ac:dyDescent="0.3">
      <c r="A399" s="4">
        <v>1395</v>
      </c>
      <c r="B399" s="4" t="s">
        <v>177</v>
      </c>
      <c r="C399" s="4" t="s">
        <v>178</v>
      </c>
      <c r="D399" s="7" t="s">
        <v>518</v>
      </c>
      <c r="E399" s="4" t="s">
        <v>24</v>
      </c>
      <c r="F399" s="9" t="s">
        <v>26</v>
      </c>
      <c r="G399" s="4">
        <v>396</v>
      </c>
      <c r="H399" s="4">
        <v>38</v>
      </c>
      <c r="I399" s="4" t="s">
        <v>934</v>
      </c>
      <c r="J399" s="4" t="str">
        <f t="shared" si="12"/>
        <v>4162020003</v>
      </c>
      <c r="K399" s="1" t="s">
        <v>12</v>
      </c>
      <c r="L399" s="4" t="s">
        <v>174</v>
      </c>
      <c r="M399" s="8" t="s">
        <v>889</v>
      </c>
      <c r="N399" s="4" t="str">
        <f t="shared" si="13"/>
        <v>('1395','RPT_009', 'LabaTrialBalance3rdSegment', '4162020003 - Pendapatan Connection Charge', 'Pendapatan Usaha', 'Pemilik dan Operator', '396', '38', 'AND ma.main_account_id IN (4162020003)', 'E', 'Pengembang Kawasan Wisata - Utility Charge', 0, 0),</v>
      </c>
    </row>
    <row r="400" spans="1:14" ht="31.2" x14ac:dyDescent="0.3">
      <c r="A400" s="4">
        <v>1396</v>
      </c>
      <c r="B400" s="4" t="s">
        <v>177</v>
      </c>
      <c r="C400" s="4" t="s">
        <v>178</v>
      </c>
      <c r="D400" s="5" t="s">
        <v>30</v>
      </c>
      <c r="E400" s="4" t="s">
        <v>24</v>
      </c>
      <c r="F400" s="9" t="s">
        <v>26</v>
      </c>
      <c r="G400" s="4">
        <v>397</v>
      </c>
      <c r="H400" s="4">
        <v>39</v>
      </c>
      <c r="I400" s="4" t="s">
        <v>934</v>
      </c>
      <c r="J400" s="4" t="str">
        <f t="shared" si="12"/>
        <v>4163000000</v>
      </c>
      <c r="K400" s="1" t="s">
        <v>12</v>
      </c>
      <c r="L400" s="4" t="s">
        <v>174</v>
      </c>
      <c r="M400" s="8" t="s">
        <v>890</v>
      </c>
      <c r="N400" s="4" t="str">
        <f t="shared" si="13"/>
        <v>('1396','RPT_009', 'LabaTrialBalance3rdSegment', '4163000000 -  Pengembang Kawasan Wisata - Bahan Bakar', 'Pendapatan Usaha', 'Pemilik dan Operator', '397', '39', 'AND ma.main_account_id IN (4163000000)', 'E', 'Pengembang Kawasan Wisata - Bahan Bakar', 0, 0),</v>
      </c>
    </row>
    <row r="401" spans="1:14" ht="31.2" x14ac:dyDescent="0.3">
      <c r="A401" s="4">
        <v>1397</v>
      </c>
      <c r="B401" s="4" t="s">
        <v>177</v>
      </c>
      <c r="C401" s="4" t="s">
        <v>178</v>
      </c>
      <c r="D401" s="6" t="s">
        <v>519</v>
      </c>
      <c r="E401" s="4" t="s">
        <v>24</v>
      </c>
      <c r="F401" s="9" t="s">
        <v>26</v>
      </c>
      <c r="G401" s="4">
        <v>398</v>
      </c>
      <c r="H401" s="4">
        <v>40</v>
      </c>
      <c r="I401" s="4" t="s">
        <v>934</v>
      </c>
      <c r="J401" s="4" t="str">
        <f t="shared" si="12"/>
        <v>4163010000</v>
      </c>
      <c r="K401" s="1" t="s">
        <v>12</v>
      </c>
      <c r="L401" s="4" t="s">
        <v>174</v>
      </c>
      <c r="M401" s="8" t="s">
        <v>890</v>
      </c>
      <c r="N401" s="4" t="str">
        <f t="shared" si="13"/>
        <v>('1397','RPT_009', 'LabaTrialBalance3rdSegment', '4163010000 -  Pendapatan Bahan Bakar', 'Pendapatan Usaha', 'Pemilik dan Operator', '398', '40', 'AND ma.main_account_id IN (4163010000)', 'E', 'Pengembang Kawasan Wisata - Bahan Bakar', 0, 0),</v>
      </c>
    </row>
    <row r="402" spans="1:14" ht="31.2" x14ac:dyDescent="0.3">
      <c r="A402" s="4">
        <v>1398</v>
      </c>
      <c r="B402" s="4" t="s">
        <v>177</v>
      </c>
      <c r="C402" s="4" t="s">
        <v>178</v>
      </c>
      <c r="D402" s="7" t="s">
        <v>520</v>
      </c>
      <c r="E402" s="4" t="s">
        <v>24</v>
      </c>
      <c r="F402" s="9" t="s">
        <v>26</v>
      </c>
      <c r="G402" s="4">
        <v>399</v>
      </c>
      <c r="H402" s="4">
        <v>41</v>
      </c>
      <c r="I402" s="4" t="s">
        <v>934</v>
      </c>
      <c r="J402" s="4" t="str">
        <f t="shared" si="12"/>
        <v>4163010001</v>
      </c>
      <c r="K402" s="1" t="s">
        <v>12</v>
      </c>
      <c r="L402" s="4" t="s">
        <v>174</v>
      </c>
      <c r="M402" s="8" t="s">
        <v>890</v>
      </c>
      <c r="N402" s="4" t="str">
        <f t="shared" si="13"/>
        <v>('1398','RPT_009', 'LabaTrialBalance3rdSegment', '4163010001 - Pendapatan SPBU', 'Pendapatan Usaha', 'Pemilik dan Operator', '399', '41', 'AND ma.main_account_id IN (4163010001)', 'E', 'Pengembang Kawasan Wisata - Bahan Bakar', 0, 0),</v>
      </c>
    </row>
    <row r="403" spans="1:14" ht="31.2" x14ac:dyDescent="0.3">
      <c r="A403" s="4">
        <v>1399</v>
      </c>
      <c r="B403" s="4" t="s">
        <v>177</v>
      </c>
      <c r="C403" s="4" t="s">
        <v>178</v>
      </c>
      <c r="D403" s="5" t="s">
        <v>31</v>
      </c>
      <c r="E403" s="4" t="s">
        <v>24</v>
      </c>
      <c r="F403" s="9" t="s">
        <v>26</v>
      </c>
      <c r="G403" s="4">
        <v>400</v>
      </c>
      <c r="H403" s="4">
        <v>42</v>
      </c>
      <c r="I403" s="4" t="s">
        <v>934</v>
      </c>
      <c r="J403" s="4" t="str">
        <f t="shared" si="12"/>
        <v>4164000000</v>
      </c>
      <c r="K403" s="1" t="s">
        <v>12</v>
      </c>
      <c r="L403" s="4" t="s">
        <v>174</v>
      </c>
      <c r="M403" s="8" t="s">
        <v>891</v>
      </c>
      <c r="N403" s="4" t="str">
        <f t="shared" si="13"/>
        <v>('1399','RPT_009', 'LabaTrialBalance3rdSegment', '4164000000 -  Pengembang Kawasan Wisata - Optimalisasi Lahan', 'Pendapatan Usaha', 'Pemilik dan Operator', '400', '42', 'AND ma.main_account_id IN (4164000000)', 'E', 'Pengembang Kawasan Wisata - Optimalisasi Lahan', 0, 0),</v>
      </c>
    </row>
    <row r="404" spans="1:14" ht="31.2" x14ac:dyDescent="0.3">
      <c r="A404" s="4">
        <v>1400</v>
      </c>
      <c r="B404" s="4" t="s">
        <v>177</v>
      </c>
      <c r="C404" s="4" t="s">
        <v>178</v>
      </c>
      <c r="D404" s="6" t="s">
        <v>521</v>
      </c>
      <c r="E404" s="4" t="s">
        <v>24</v>
      </c>
      <c r="F404" s="9" t="s">
        <v>26</v>
      </c>
      <c r="G404" s="4">
        <v>401</v>
      </c>
      <c r="H404" s="4">
        <v>43</v>
      </c>
      <c r="I404" s="4" t="s">
        <v>934</v>
      </c>
      <c r="J404" s="4" t="str">
        <f t="shared" si="12"/>
        <v>4164010000</v>
      </c>
      <c r="K404" s="1" t="s">
        <v>12</v>
      </c>
      <c r="L404" s="4" t="s">
        <v>174</v>
      </c>
      <c r="M404" s="8" t="s">
        <v>891</v>
      </c>
      <c r="N404" s="4" t="str">
        <f t="shared" si="13"/>
        <v>('1400','RPT_009', 'LabaTrialBalance3rdSegment', '4164010000 -  Komersialisasi Lahan', 'Pendapatan Usaha', 'Pemilik dan Operator', '401', '43', 'AND ma.main_account_id IN (4164010000)', 'E', 'Pengembang Kawasan Wisata - Optimalisasi Lahan', 0, 0),</v>
      </c>
    </row>
    <row r="405" spans="1:14" ht="31.2" x14ac:dyDescent="0.3">
      <c r="A405" s="4">
        <v>1401</v>
      </c>
      <c r="B405" s="4" t="s">
        <v>177</v>
      </c>
      <c r="C405" s="4" t="s">
        <v>178</v>
      </c>
      <c r="D405" s="7" t="s">
        <v>522</v>
      </c>
      <c r="E405" s="4" t="s">
        <v>24</v>
      </c>
      <c r="F405" s="9" t="s">
        <v>26</v>
      </c>
      <c r="G405" s="4">
        <v>402</v>
      </c>
      <c r="H405" s="4">
        <v>44</v>
      </c>
      <c r="I405" s="4" t="s">
        <v>934</v>
      </c>
      <c r="J405" s="4" t="str">
        <f t="shared" si="12"/>
        <v>4164010002</v>
      </c>
      <c r="K405" s="1" t="s">
        <v>12</v>
      </c>
      <c r="L405" s="4" t="s">
        <v>174</v>
      </c>
      <c r="M405" s="8" t="s">
        <v>891</v>
      </c>
      <c r="N405" s="4" t="str">
        <f t="shared" si="13"/>
        <v>('1401','RPT_009', 'LabaTrialBalance3rdSegment', '4164010002 - Pendapatan Media Promosi', 'Pendapatan Usaha', 'Pemilik dan Operator', '402', '44', 'AND ma.main_account_id IN (4164010002)', 'E', 'Pengembang Kawasan Wisata - Optimalisasi Lahan', 0, 0),</v>
      </c>
    </row>
    <row r="406" spans="1:14" ht="31.2" x14ac:dyDescent="0.3">
      <c r="A406" s="4">
        <v>1402</v>
      </c>
      <c r="B406" s="4" t="s">
        <v>177</v>
      </c>
      <c r="C406" s="4" t="s">
        <v>178</v>
      </c>
      <c r="D406" s="5" t="s">
        <v>158</v>
      </c>
      <c r="E406" s="4" t="s">
        <v>24</v>
      </c>
      <c r="F406" s="9" t="s">
        <v>26</v>
      </c>
      <c r="G406" s="4">
        <v>403</v>
      </c>
      <c r="H406" s="4">
        <v>45</v>
      </c>
      <c r="I406" s="4" t="s">
        <v>934</v>
      </c>
      <c r="J406" s="4" t="str">
        <f t="shared" si="12"/>
        <v>4165000000</v>
      </c>
      <c r="K406" s="1" t="s">
        <v>12</v>
      </c>
      <c r="L406" s="4" t="s">
        <v>174</v>
      </c>
      <c r="M406" s="8" t="s">
        <v>892</v>
      </c>
      <c r="N406" s="4" t="str">
        <f t="shared" si="13"/>
        <v>('1402','RPT_009', 'LabaTrialBalance3rdSegment', '4165000000 -  Pengembang Kawasan Wisata - Real Estate Sale', 'Pendapatan Usaha', 'Pemilik dan Operator', '403', '45', 'AND ma.main_account_id IN (4165000000)', 'E', 'Pengembang Kawasan Wisata - Real Estate Sale', 0, 0),</v>
      </c>
    </row>
    <row r="407" spans="1:14" ht="31.2" x14ac:dyDescent="0.3">
      <c r="A407" s="4">
        <v>1403</v>
      </c>
      <c r="B407" s="4" t="s">
        <v>177</v>
      </c>
      <c r="C407" s="4" t="s">
        <v>178</v>
      </c>
      <c r="D407" s="6" t="s">
        <v>523</v>
      </c>
      <c r="E407" s="4" t="s">
        <v>24</v>
      </c>
      <c r="F407" s="9" t="s">
        <v>26</v>
      </c>
      <c r="G407" s="4">
        <v>404</v>
      </c>
      <c r="H407" s="4">
        <v>46</v>
      </c>
      <c r="I407" s="4" t="s">
        <v>934</v>
      </c>
      <c r="J407" s="4" t="str">
        <f t="shared" si="12"/>
        <v>4165010000</v>
      </c>
      <c r="K407" s="1" t="s">
        <v>12</v>
      </c>
      <c r="L407" s="4" t="s">
        <v>174</v>
      </c>
      <c r="M407" s="8" t="s">
        <v>892</v>
      </c>
      <c r="N407" s="4" t="str">
        <f t="shared" si="13"/>
        <v>('1403','RPT_009', 'LabaTrialBalance3rdSegment', '4165010000 -  Penjualan Lahan', 'Pendapatan Usaha', 'Pemilik dan Operator', '404', '46', 'AND ma.main_account_id IN (4165010000)', 'E', 'Pengembang Kawasan Wisata - Real Estate Sale', 0, 0),</v>
      </c>
    </row>
    <row r="408" spans="1:14" ht="31.2" x14ac:dyDescent="0.3">
      <c r="A408" s="4">
        <v>1404</v>
      </c>
      <c r="B408" s="4" t="s">
        <v>177</v>
      </c>
      <c r="C408" s="4" t="s">
        <v>178</v>
      </c>
      <c r="D408" s="7" t="s">
        <v>524</v>
      </c>
      <c r="E408" s="4" t="s">
        <v>24</v>
      </c>
      <c r="F408" s="9" t="s">
        <v>26</v>
      </c>
      <c r="G408" s="4">
        <v>405</v>
      </c>
      <c r="H408" s="4">
        <v>47</v>
      </c>
      <c r="I408" s="4" t="s">
        <v>934</v>
      </c>
      <c r="J408" s="4" t="str">
        <f t="shared" si="12"/>
        <v>4165010001</v>
      </c>
      <c r="K408" s="1" t="s">
        <v>12</v>
      </c>
      <c r="L408" s="4" t="s">
        <v>174</v>
      </c>
      <c r="M408" s="8" t="s">
        <v>892</v>
      </c>
      <c r="N408" s="4" t="str">
        <f t="shared" si="13"/>
        <v>('1404','RPT_009', 'LabaTrialBalance3rdSegment', '4165010001 - Pendapatan Penjualan Lahan', 'Pendapatan Usaha', 'Pemilik dan Operator', '405', '47', 'AND ma.main_account_id IN (4165010001)', 'E', 'Pengembang Kawasan Wisata - Real Estate Sale', 0, 0),</v>
      </c>
    </row>
    <row r="409" spans="1:14" ht="46.8" x14ac:dyDescent="0.3">
      <c r="A409" s="4">
        <v>1405</v>
      </c>
      <c r="B409" s="4" t="s">
        <v>177</v>
      </c>
      <c r="C409" s="4" t="s">
        <v>178</v>
      </c>
      <c r="D409" s="5" t="s">
        <v>159</v>
      </c>
      <c r="E409" s="4" t="s">
        <v>24</v>
      </c>
      <c r="F409" s="9" t="s">
        <v>26</v>
      </c>
      <c r="G409" s="4">
        <v>406</v>
      </c>
      <c r="H409" s="4">
        <v>48</v>
      </c>
      <c r="I409" s="4" t="s">
        <v>934</v>
      </c>
      <c r="J409" s="4" t="str">
        <f t="shared" si="12"/>
        <v>4167000000</v>
      </c>
      <c r="K409" s="1" t="s">
        <v>12</v>
      </c>
      <c r="L409" s="4" t="s">
        <v>174</v>
      </c>
      <c r="M409" s="8" t="s">
        <v>893</v>
      </c>
      <c r="N409" s="4" t="str">
        <f t="shared" si="13"/>
        <v>('1405','RPT_009', 'LabaTrialBalance3rdSegment', '4167000000 -  Pengembang Kawasan Wisata - Pendapatan Management Fee', 'Pendapatan Usaha', 'Pemilik dan Operator', '406', '48', 'AND ma.main_account_id IN (4167000000)', 'E', 'Pengembang Kawasan Wisata - Pendapatan Management Fee', 0, 0),</v>
      </c>
    </row>
    <row r="410" spans="1:14" ht="46.8" x14ac:dyDescent="0.3">
      <c r="A410" s="4">
        <v>1406</v>
      </c>
      <c r="B410" s="4" t="s">
        <v>177</v>
      </c>
      <c r="C410" s="4" t="s">
        <v>178</v>
      </c>
      <c r="D410" s="6" t="s">
        <v>525</v>
      </c>
      <c r="E410" s="4" t="s">
        <v>24</v>
      </c>
      <c r="F410" s="9" t="s">
        <v>26</v>
      </c>
      <c r="G410" s="4">
        <v>407</v>
      </c>
      <c r="H410" s="4">
        <v>49</v>
      </c>
      <c r="I410" s="4" t="s">
        <v>934</v>
      </c>
      <c r="J410" s="4" t="str">
        <f t="shared" si="12"/>
        <v>4167010000</v>
      </c>
      <c r="K410" s="1" t="s">
        <v>12</v>
      </c>
      <c r="L410" s="4" t="s">
        <v>174</v>
      </c>
      <c r="M410" s="8" t="s">
        <v>893</v>
      </c>
      <c r="N410" s="4" t="str">
        <f t="shared" si="13"/>
        <v>('1406','RPT_009', 'LabaTrialBalance3rdSegment', '4167010000 -  Pendapatan Management Fee  - Gas, ICT, Solar VP', 'Pendapatan Usaha', 'Pemilik dan Operator', '407', '49', 'AND ma.main_account_id IN (4167010000)', 'E', 'Pengembang Kawasan Wisata - Pendapatan Management Fee', 0, 0),</v>
      </c>
    </row>
    <row r="411" spans="1:14" ht="46.8" x14ac:dyDescent="0.3">
      <c r="A411" s="4">
        <v>1407</v>
      </c>
      <c r="B411" s="4" t="s">
        <v>177</v>
      </c>
      <c r="C411" s="4" t="s">
        <v>178</v>
      </c>
      <c r="D411" s="7" t="s">
        <v>526</v>
      </c>
      <c r="E411" s="4" t="s">
        <v>24</v>
      </c>
      <c r="F411" s="9" t="s">
        <v>26</v>
      </c>
      <c r="G411" s="4">
        <v>408</v>
      </c>
      <c r="H411" s="4">
        <v>50</v>
      </c>
      <c r="I411" s="4" t="s">
        <v>934</v>
      </c>
      <c r="J411" s="4" t="str">
        <f t="shared" si="12"/>
        <v>4167010001</v>
      </c>
      <c r="K411" s="1" t="s">
        <v>12</v>
      </c>
      <c r="L411" s="4" t="s">
        <v>174</v>
      </c>
      <c r="M411" s="8" t="s">
        <v>893</v>
      </c>
      <c r="N411" s="4" t="str">
        <f t="shared" si="13"/>
        <v>('1407','RPT_009', 'LabaTrialBalance3rdSegment', '4167010001 - Pendapatan Management Fee atas Gas', 'Pendapatan Usaha', 'Pemilik dan Operator', '408', '50', 'AND ma.main_account_id IN (4167010001)', 'E', 'Pengembang Kawasan Wisata - Pendapatan Management Fee', 0, 0),</v>
      </c>
    </row>
    <row r="412" spans="1:14" ht="46.8" x14ac:dyDescent="0.3">
      <c r="A412" s="4">
        <v>1408</v>
      </c>
      <c r="B412" s="4" t="s">
        <v>177</v>
      </c>
      <c r="C412" s="4" t="s">
        <v>178</v>
      </c>
      <c r="D412" s="7" t="s">
        <v>527</v>
      </c>
      <c r="E412" s="4" t="s">
        <v>24</v>
      </c>
      <c r="F412" s="9" t="s">
        <v>26</v>
      </c>
      <c r="G412" s="4">
        <v>409</v>
      </c>
      <c r="H412" s="4">
        <v>51</v>
      </c>
      <c r="I412" s="4" t="s">
        <v>934</v>
      </c>
      <c r="J412" s="4" t="str">
        <f t="shared" si="12"/>
        <v>4167010002</v>
      </c>
      <c r="K412" s="1" t="s">
        <v>12</v>
      </c>
      <c r="L412" s="4" t="s">
        <v>174</v>
      </c>
      <c r="M412" s="8" t="s">
        <v>893</v>
      </c>
      <c r="N412" s="4" t="str">
        <f t="shared" si="13"/>
        <v>('1408','RPT_009', 'LabaTrialBalance3rdSegment', '4167010002 - Pendapatan Management Fee atas ICT', 'Pendapatan Usaha', 'Pemilik dan Operator', '409', '51', 'AND ma.main_account_id IN (4167010002)', 'E', 'Pengembang Kawasan Wisata - Pendapatan Management Fee', 0, 0),</v>
      </c>
    </row>
    <row r="413" spans="1:14" ht="46.8" x14ac:dyDescent="0.3">
      <c r="A413" s="4">
        <v>1409</v>
      </c>
      <c r="B413" s="4" t="s">
        <v>177</v>
      </c>
      <c r="C413" s="4" t="s">
        <v>178</v>
      </c>
      <c r="D413" s="7" t="s">
        <v>528</v>
      </c>
      <c r="E413" s="4" t="s">
        <v>24</v>
      </c>
      <c r="F413" s="9" t="s">
        <v>26</v>
      </c>
      <c r="G413" s="4">
        <v>410</v>
      </c>
      <c r="H413" s="4">
        <v>52</v>
      </c>
      <c r="I413" s="4" t="s">
        <v>934</v>
      </c>
      <c r="J413" s="4" t="str">
        <f t="shared" si="12"/>
        <v>4167010003</v>
      </c>
      <c r="K413" s="1" t="s">
        <v>12</v>
      </c>
      <c r="L413" s="4" t="s">
        <v>174</v>
      </c>
      <c r="M413" s="8" t="s">
        <v>893</v>
      </c>
      <c r="N413" s="4" t="str">
        <f t="shared" si="13"/>
        <v>('1409','RPT_009', 'LabaTrialBalance3rdSegment', '4167010003 - Pendapatan Management Fee atas Solar VP', 'Pendapatan Usaha', 'Pemilik dan Operator', '410', '52', 'AND ma.main_account_id IN (4167010003)', 'E', 'Pengembang Kawasan Wisata - Pendapatan Management Fee', 0, 0),</v>
      </c>
    </row>
    <row r="414" spans="1:14" x14ac:dyDescent="0.3">
      <c r="A414" s="4">
        <v>1410</v>
      </c>
      <c r="B414" s="4" t="s">
        <v>177</v>
      </c>
      <c r="C414" s="4" t="s">
        <v>178</v>
      </c>
      <c r="D414" s="3" t="s">
        <v>32</v>
      </c>
      <c r="E414" s="4" t="s">
        <v>24</v>
      </c>
      <c r="F414" s="9" t="s">
        <v>33</v>
      </c>
      <c r="G414" s="4">
        <v>411</v>
      </c>
      <c r="H414" s="4">
        <v>53</v>
      </c>
      <c r="I414" s="4" t="s">
        <v>934</v>
      </c>
      <c r="J414" s="4" t="str">
        <f t="shared" si="12"/>
        <v>4200000000</v>
      </c>
      <c r="K414" s="1" t="s">
        <v>12</v>
      </c>
      <c r="L414" s="4" t="s">
        <v>174</v>
      </c>
      <c r="M414" s="10" t="s">
        <v>33</v>
      </c>
      <c r="N414" s="4" t="str">
        <f t="shared" si="13"/>
        <v>('1410','RPT_009', 'LabaTrialBalance3rdSegment', '4200000000 - Pemilik', 'Pendapatan Usaha', 'Pemilik', '411', '53', 'AND ma.main_account_id IN (4200000000)', 'E', 'Pemilik', 0, 0),</v>
      </c>
    </row>
    <row r="415" spans="1:14" ht="31.2" x14ac:dyDescent="0.3">
      <c r="A415" s="4">
        <v>1411</v>
      </c>
      <c r="B415" s="4" t="s">
        <v>177</v>
      </c>
      <c r="C415" s="4" t="s">
        <v>178</v>
      </c>
      <c r="D415" s="5" t="s">
        <v>34</v>
      </c>
      <c r="E415" s="4" t="s">
        <v>24</v>
      </c>
      <c r="F415" s="9" t="s">
        <v>854</v>
      </c>
      <c r="G415" s="4">
        <v>412</v>
      </c>
      <c r="H415" s="4">
        <v>54</v>
      </c>
      <c r="I415" s="4" t="s">
        <v>934</v>
      </c>
      <c r="J415" s="4" t="str">
        <f t="shared" si="12"/>
        <v>4230000000</v>
      </c>
      <c r="K415" s="1" t="s">
        <v>12</v>
      </c>
      <c r="L415" s="4" t="s">
        <v>174</v>
      </c>
      <c r="M415" s="8" t="s">
        <v>854</v>
      </c>
      <c r="N415" s="4" t="str">
        <f t="shared" si="13"/>
        <v>('1411','RPT_009', 'LabaTrialBalance3rdSegment', '4230000000 -  Perhotelan &amp; Manajemen Perjalanan - Kamar', 'Pendapatan Usaha', 'Perhotelan &amp; Manajemen Perjalanan - Kamar', '412', '54', 'AND ma.main_account_id IN (4230000000)', 'E', 'Perhotelan &amp; Manajemen Perjalanan - Kamar', 0, 0),</v>
      </c>
    </row>
    <row r="416" spans="1:14" ht="31.2" x14ac:dyDescent="0.3">
      <c r="A416" s="4">
        <v>1412</v>
      </c>
      <c r="B416" s="4" t="s">
        <v>177</v>
      </c>
      <c r="C416" s="4" t="s">
        <v>178</v>
      </c>
      <c r="D416" s="6" t="s">
        <v>529</v>
      </c>
      <c r="E416" s="4" t="s">
        <v>24</v>
      </c>
      <c r="F416" s="9" t="s">
        <v>854</v>
      </c>
      <c r="G416" s="4">
        <v>413</v>
      </c>
      <c r="H416" s="4">
        <v>55</v>
      </c>
      <c r="I416" s="4" t="s">
        <v>934</v>
      </c>
      <c r="J416" s="4" t="str">
        <f t="shared" si="12"/>
        <v>4230010000</v>
      </c>
      <c r="K416" s="1" t="s">
        <v>12</v>
      </c>
      <c r="L416" s="4" t="s">
        <v>174</v>
      </c>
      <c r="M416" s="8" t="s">
        <v>854</v>
      </c>
      <c r="N416" s="4" t="str">
        <f t="shared" si="13"/>
        <v>('1412','RPT_009', 'LabaTrialBalance3rdSegment', '4230010000 -  Kamar', 'Pendapatan Usaha', 'Perhotelan &amp; Manajemen Perjalanan - Kamar', '413', '55', 'AND ma.main_account_id IN (4230010000)', 'E', 'Perhotelan &amp; Manajemen Perjalanan - Kamar', 0, 0),</v>
      </c>
    </row>
    <row r="417" spans="1:14" ht="31.2" x14ac:dyDescent="0.3">
      <c r="A417" s="4">
        <v>1413</v>
      </c>
      <c r="B417" s="4" t="s">
        <v>177</v>
      </c>
      <c r="C417" s="4" t="s">
        <v>178</v>
      </c>
      <c r="D417" s="7" t="s">
        <v>530</v>
      </c>
      <c r="E417" s="4" t="s">
        <v>24</v>
      </c>
      <c r="F417" s="9" t="s">
        <v>854</v>
      </c>
      <c r="G417" s="4">
        <v>414</v>
      </c>
      <c r="H417" s="4">
        <v>56</v>
      </c>
      <c r="I417" s="4" t="s">
        <v>934</v>
      </c>
      <c r="J417" s="4" t="str">
        <f t="shared" si="12"/>
        <v>4230010001</v>
      </c>
      <c r="K417" s="1" t="s">
        <v>12</v>
      </c>
      <c r="L417" s="4" t="s">
        <v>174</v>
      </c>
      <c r="M417" s="8" t="s">
        <v>854</v>
      </c>
      <c r="N417" s="4" t="str">
        <f t="shared" si="13"/>
        <v>('1413','RPT_009', 'LabaTrialBalance3rdSegment', '4230010001 - Pendapatan Kamar', 'Pendapatan Usaha', 'Perhotelan &amp; Manajemen Perjalanan - Kamar', '414', '56', 'AND ma.main_account_id IN (4230010001)', 'E', 'Perhotelan &amp; Manajemen Perjalanan - Kamar', 0, 0),</v>
      </c>
    </row>
    <row r="418" spans="1:14" ht="46.8" x14ac:dyDescent="0.3">
      <c r="A418" s="4">
        <v>1414</v>
      </c>
      <c r="B418" s="4" t="s">
        <v>177</v>
      </c>
      <c r="C418" s="4" t="s">
        <v>178</v>
      </c>
      <c r="D418" s="5" t="s">
        <v>160</v>
      </c>
      <c r="E418" s="4" t="s">
        <v>24</v>
      </c>
      <c r="F418" s="9" t="s">
        <v>854</v>
      </c>
      <c r="G418" s="4">
        <v>415</v>
      </c>
      <c r="H418" s="4">
        <v>57</v>
      </c>
      <c r="I418" s="4" t="s">
        <v>934</v>
      </c>
      <c r="J418" s="4" t="str">
        <f t="shared" si="12"/>
        <v>4231000000</v>
      </c>
      <c r="K418" s="1" t="s">
        <v>12</v>
      </c>
      <c r="L418" s="4" t="s">
        <v>174</v>
      </c>
      <c r="M418" s="8" t="s">
        <v>894</v>
      </c>
      <c r="N418" s="4" t="str">
        <f t="shared" si="13"/>
        <v>('1414','RPT_009', 'LabaTrialBalance3rdSegment', '4231000000 -  Perhotelan &amp; Manajemen Perjalanan - Pendapatan Non-Kamar - Food &amp; Beverages', 'Pendapatan Usaha', 'Perhotelan &amp; Manajemen Perjalanan - Kamar', '415', '57', 'AND ma.main_account_id IN (4231000000)', 'E', 'Perhotelan &amp; Manajemen Perjalanan - Pendapatan Non-Kamar - Food &amp; Beverages', 0, 0),</v>
      </c>
    </row>
    <row r="419" spans="1:14" ht="46.8" x14ac:dyDescent="0.3">
      <c r="A419" s="4">
        <v>1415</v>
      </c>
      <c r="B419" s="4" t="s">
        <v>177</v>
      </c>
      <c r="C419" s="4" t="s">
        <v>178</v>
      </c>
      <c r="D419" s="6" t="s">
        <v>531</v>
      </c>
      <c r="E419" s="4" t="s">
        <v>24</v>
      </c>
      <c r="F419" s="9" t="s">
        <v>854</v>
      </c>
      <c r="G419" s="4">
        <v>416</v>
      </c>
      <c r="H419" s="4">
        <v>58</v>
      </c>
      <c r="I419" s="4" t="s">
        <v>934</v>
      </c>
      <c r="J419" s="4" t="str">
        <f t="shared" si="12"/>
        <v>4231010000</v>
      </c>
      <c r="K419" s="1" t="s">
        <v>12</v>
      </c>
      <c r="L419" s="4" t="s">
        <v>174</v>
      </c>
      <c r="M419" s="8" t="s">
        <v>894</v>
      </c>
      <c r="N419" s="4" t="str">
        <f t="shared" si="13"/>
        <v>('1415','RPT_009', 'LabaTrialBalance3rdSegment', '4231010000 -  Food', 'Pendapatan Usaha', 'Perhotelan &amp; Manajemen Perjalanan - Kamar', '416', '58', 'AND ma.main_account_id IN (4231010000)', 'E', 'Perhotelan &amp; Manajemen Perjalanan - Pendapatan Non-Kamar - Food &amp; Beverages', 0, 0),</v>
      </c>
    </row>
    <row r="420" spans="1:14" ht="46.8" x14ac:dyDescent="0.3">
      <c r="A420" s="4">
        <v>1416</v>
      </c>
      <c r="B420" s="4" t="s">
        <v>177</v>
      </c>
      <c r="C420" s="4" t="s">
        <v>178</v>
      </c>
      <c r="D420" s="7" t="s">
        <v>532</v>
      </c>
      <c r="E420" s="4" t="s">
        <v>24</v>
      </c>
      <c r="F420" s="9" t="s">
        <v>854</v>
      </c>
      <c r="G420" s="4">
        <v>417</v>
      </c>
      <c r="H420" s="4">
        <v>59</v>
      </c>
      <c r="I420" s="4" t="s">
        <v>934</v>
      </c>
      <c r="J420" s="4" t="str">
        <f t="shared" si="12"/>
        <v>4231010006</v>
      </c>
      <c r="K420" s="1" t="s">
        <v>12</v>
      </c>
      <c r="L420" s="4" t="s">
        <v>174</v>
      </c>
      <c r="M420" s="8" t="s">
        <v>894</v>
      </c>
      <c r="N420" s="4" t="str">
        <f t="shared" si="13"/>
        <v>('1416','RPT_009', 'LabaTrialBalance3rdSegment', '4231010006 - Pendapatan Food - Restaurant', 'Pendapatan Usaha', 'Perhotelan &amp; Manajemen Perjalanan - Kamar', '417', '59', 'AND ma.main_account_id IN (4231010006)', 'E', 'Perhotelan &amp; Manajemen Perjalanan - Pendapatan Non-Kamar - Food &amp; Beverages', 0, 0),</v>
      </c>
    </row>
    <row r="421" spans="1:14" ht="46.8" x14ac:dyDescent="0.3">
      <c r="A421" s="4">
        <v>1417</v>
      </c>
      <c r="B421" s="4" t="s">
        <v>177</v>
      </c>
      <c r="C421" s="4" t="s">
        <v>178</v>
      </c>
      <c r="D421" s="6" t="s">
        <v>533</v>
      </c>
      <c r="E421" s="4" t="s">
        <v>24</v>
      </c>
      <c r="F421" s="9" t="s">
        <v>854</v>
      </c>
      <c r="G421" s="4">
        <v>418</v>
      </c>
      <c r="H421" s="4">
        <v>60</v>
      </c>
      <c r="I421" s="4" t="s">
        <v>934</v>
      </c>
      <c r="J421" s="4" t="str">
        <f t="shared" si="12"/>
        <v>4231020000</v>
      </c>
      <c r="K421" s="1" t="s">
        <v>12</v>
      </c>
      <c r="L421" s="4" t="s">
        <v>174</v>
      </c>
      <c r="M421" s="8" t="s">
        <v>894</v>
      </c>
      <c r="N421" s="4" t="str">
        <f t="shared" si="13"/>
        <v>('1417','RPT_009', 'LabaTrialBalance3rdSegment', '4231020000 -  Beverages', 'Pendapatan Usaha', 'Perhotelan &amp; Manajemen Perjalanan - Kamar', '418', '60', 'AND ma.main_account_id IN (4231020000)', 'E', 'Perhotelan &amp; Manajemen Perjalanan - Pendapatan Non-Kamar - Food &amp; Beverages', 0, 0),</v>
      </c>
    </row>
    <row r="422" spans="1:14" ht="46.8" x14ac:dyDescent="0.3">
      <c r="A422" s="4">
        <v>1418</v>
      </c>
      <c r="B422" s="4" t="s">
        <v>177</v>
      </c>
      <c r="C422" s="4" t="s">
        <v>178</v>
      </c>
      <c r="D422" s="7" t="s">
        <v>534</v>
      </c>
      <c r="E422" s="4" t="s">
        <v>24</v>
      </c>
      <c r="F422" s="9" t="s">
        <v>854</v>
      </c>
      <c r="G422" s="4">
        <v>419</v>
      </c>
      <c r="H422" s="4">
        <v>61</v>
      </c>
      <c r="I422" s="4" t="s">
        <v>934</v>
      </c>
      <c r="J422" s="4" t="str">
        <f t="shared" si="12"/>
        <v>4231020006</v>
      </c>
      <c r="K422" s="1" t="s">
        <v>12</v>
      </c>
      <c r="L422" s="4" t="s">
        <v>174</v>
      </c>
      <c r="M422" s="8" t="s">
        <v>894</v>
      </c>
      <c r="N422" s="4" t="str">
        <f t="shared" si="13"/>
        <v>('1418','RPT_009', 'LabaTrialBalance3rdSegment', '4231020006 - Pendapatan Beverages - Restaurant', 'Pendapatan Usaha', 'Perhotelan &amp; Manajemen Perjalanan - Kamar', '419', '61', 'AND ma.main_account_id IN (4231020006)', 'E', 'Perhotelan &amp; Manajemen Perjalanan - Pendapatan Non-Kamar - Food &amp; Beverages', 0, 0),</v>
      </c>
    </row>
    <row r="423" spans="1:14" ht="62.4" x14ac:dyDescent="0.3">
      <c r="A423" s="4">
        <v>1419</v>
      </c>
      <c r="B423" s="4" t="s">
        <v>177</v>
      </c>
      <c r="C423" s="4" t="s">
        <v>178</v>
      </c>
      <c r="D423" s="5" t="s">
        <v>161</v>
      </c>
      <c r="E423" s="4" t="s">
        <v>24</v>
      </c>
      <c r="F423" s="9" t="s">
        <v>854</v>
      </c>
      <c r="G423" s="4">
        <v>420</v>
      </c>
      <c r="H423" s="4">
        <v>62</v>
      </c>
      <c r="I423" s="4" t="s">
        <v>934</v>
      </c>
      <c r="J423" s="4" t="str">
        <f t="shared" si="12"/>
        <v>4232000000</v>
      </c>
      <c r="K423" s="1" t="s">
        <v>12</v>
      </c>
      <c r="L423" s="4" t="s">
        <v>174</v>
      </c>
      <c r="M423" s="8" t="s">
        <v>895</v>
      </c>
      <c r="N423" s="4" t="str">
        <f t="shared" si="13"/>
        <v>('1419','RPT_009', 'LabaTrialBalance3rdSegment', '4232000000 -  Perhotelan &amp; Manajemen Perjalanan - Pendapatan Non-Kamar - Fasilitas Hotel Lainnya', 'Pendapatan Usaha', 'Perhotelan &amp; Manajemen Perjalanan - Kamar', '420', '62', 'AND ma.main_account_id IN (4232000000)', 'E', 'Perhotelan &amp; Manajemen Perjalanan - Pendapatan Non-Kamar - Fasilitas Hotel Lainnya', 0, 0),</v>
      </c>
    </row>
    <row r="424" spans="1:14" ht="62.4" x14ac:dyDescent="0.3">
      <c r="A424" s="4">
        <v>1420</v>
      </c>
      <c r="B424" s="4" t="s">
        <v>177</v>
      </c>
      <c r="C424" s="4" t="s">
        <v>178</v>
      </c>
      <c r="D424" s="6" t="s">
        <v>535</v>
      </c>
      <c r="E424" s="4" t="s">
        <v>24</v>
      </c>
      <c r="F424" s="9" t="s">
        <v>854</v>
      </c>
      <c r="G424" s="4">
        <v>421</v>
      </c>
      <c r="H424" s="4">
        <v>63</v>
      </c>
      <c r="I424" s="4" t="s">
        <v>934</v>
      </c>
      <c r="J424" s="4" t="str">
        <f t="shared" si="12"/>
        <v>4232010000</v>
      </c>
      <c r="K424" s="1" t="s">
        <v>12</v>
      </c>
      <c r="L424" s="4" t="s">
        <v>174</v>
      </c>
      <c r="M424" s="8" t="s">
        <v>895</v>
      </c>
      <c r="N424" s="4" t="str">
        <f t="shared" si="13"/>
        <v>('1420','RPT_009', 'LabaTrialBalance3rdSegment', '4232010000 -  Sewa', 'Pendapatan Usaha', 'Perhotelan &amp; Manajemen Perjalanan - Kamar', '421', '63', 'AND ma.main_account_id IN (4232010000)', 'E', 'Perhotelan &amp; Manajemen Perjalanan - Pendapatan Non-Kamar - Fasilitas Hotel Lainnya', 0, 0),</v>
      </c>
    </row>
    <row r="425" spans="1:14" ht="62.4" x14ac:dyDescent="0.3">
      <c r="A425" s="4">
        <v>1421</v>
      </c>
      <c r="B425" s="4" t="s">
        <v>177</v>
      </c>
      <c r="C425" s="4" t="s">
        <v>178</v>
      </c>
      <c r="D425" s="7" t="s">
        <v>536</v>
      </c>
      <c r="E425" s="4" t="s">
        <v>24</v>
      </c>
      <c r="F425" s="9" t="s">
        <v>854</v>
      </c>
      <c r="G425" s="4">
        <v>422</v>
      </c>
      <c r="H425" s="4">
        <v>64</v>
      </c>
      <c r="I425" s="4" t="s">
        <v>934</v>
      </c>
      <c r="J425" s="4" t="str">
        <f t="shared" si="12"/>
        <v>4232010002</v>
      </c>
      <c r="K425" s="1" t="s">
        <v>12</v>
      </c>
      <c r="L425" s="4" t="s">
        <v>174</v>
      </c>
      <c r="M425" s="8" t="s">
        <v>895</v>
      </c>
      <c r="N425" s="4" t="str">
        <f t="shared" si="13"/>
        <v>('1421','RPT_009', 'LabaTrialBalance3rdSegment', '4232010002 - Pendapatan Sewa Ruangan - MICE', 'Pendapatan Usaha', 'Perhotelan &amp; Manajemen Perjalanan - Kamar', '422', '64', 'AND ma.main_account_id IN (4232010002)', 'E', 'Perhotelan &amp; Manajemen Perjalanan - Pendapatan Non-Kamar - Fasilitas Hotel Lainnya', 0, 0),</v>
      </c>
    </row>
    <row r="426" spans="1:14" ht="62.4" x14ac:dyDescent="0.3">
      <c r="A426" s="4">
        <v>1422</v>
      </c>
      <c r="B426" s="4" t="s">
        <v>177</v>
      </c>
      <c r="C426" s="4" t="s">
        <v>178</v>
      </c>
      <c r="D426" s="6" t="s">
        <v>537</v>
      </c>
      <c r="E426" s="4" t="s">
        <v>24</v>
      </c>
      <c r="F426" s="9" t="s">
        <v>854</v>
      </c>
      <c r="G426" s="4">
        <v>423</v>
      </c>
      <c r="H426" s="4">
        <v>65</v>
      </c>
      <c r="I426" s="4" t="s">
        <v>934</v>
      </c>
      <c r="J426" s="4" t="str">
        <f t="shared" si="12"/>
        <v>4232050000</v>
      </c>
      <c r="K426" s="1" t="s">
        <v>12</v>
      </c>
      <c r="L426" s="4" t="s">
        <v>174</v>
      </c>
      <c r="M426" s="8" t="s">
        <v>895</v>
      </c>
      <c r="N426" s="4" t="str">
        <f t="shared" si="13"/>
        <v>('1422','RPT_009', 'LabaTrialBalance3rdSegment', '4232050000 -  Fasilitas Hotel Lainnya', 'Pendapatan Usaha', 'Perhotelan &amp; Manajemen Perjalanan - Kamar', '423', '65', 'AND ma.main_account_id IN (4232050000)', 'E', 'Perhotelan &amp; Manajemen Perjalanan - Pendapatan Non-Kamar - Fasilitas Hotel Lainnya', 0, 0),</v>
      </c>
    </row>
    <row r="427" spans="1:14" ht="62.4" x14ac:dyDescent="0.3">
      <c r="A427" s="4">
        <v>1423</v>
      </c>
      <c r="B427" s="4" t="s">
        <v>177</v>
      </c>
      <c r="C427" s="4" t="s">
        <v>178</v>
      </c>
      <c r="D427" s="7" t="s">
        <v>538</v>
      </c>
      <c r="E427" s="4" t="s">
        <v>24</v>
      </c>
      <c r="F427" s="9" t="s">
        <v>854</v>
      </c>
      <c r="G427" s="4">
        <v>424</v>
      </c>
      <c r="H427" s="4">
        <v>66</v>
      </c>
      <c r="I427" s="4" t="s">
        <v>934</v>
      </c>
      <c r="J427" s="4" t="str">
        <f t="shared" si="12"/>
        <v>4232050010</v>
      </c>
      <c r="K427" s="1" t="s">
        <v>12</v>
      </c>
      <c r="L427" s="4" t="s">
        <v>174</v>
      </c>
      <c r="M427" s="8" t="s">
        <v>895</v>
      </c>
      <c r="N427" s="4" t="str">
        <f t="shared" si="13"/>
        <v>('1423','RPT_009', 'LabaTrialBalance3rdSegment', '4232050010 - Pendapatan Fasilitas Hotel Lainnya', 'Pendapatan Usaha', 'Perhotelan &amp; Manajemen Perjalanan - Kamar', '424', '66', 'AND ma.main_account_id IN (4232050010)', 'E', 'Perhotelan &amp; Manajemen Perjalanan - Pendapatan Non-Kamar - Fasilitas Hotel Lainnya', 0, 0),</v>
      </c>
    </row>
    <row r="428" spans="1:14" ht="31.2" x14ac:dyDescent="0.3">
      <c r="A428" s="4">
        <v>1424</v>
      </c>
      <c r="B428" s="4" t="s">
        <v>177</v>
      </c>
      <c r="C428" s="4" t="s">
        <v>178</v>
      </c>
      <c r="D428" s="5" t="s">
        <v>162</v>
      </c>
      <c r="E428" s="4" t="s">
        <v>24</v>
      </c>
      <c r="F428" s="9" t="s">
        <v>854</v>
      </c>
      <c r="G428" s="4">
        <v>425</v>
      </c>
      <c r="H428" s="4">
        <v>67</v>
      </c>
      <c r="I428" s="4" t="s">
        <v>934</v>
      </c>
      <c r="J428" s="4" t="str">
        <f t="shared" si="12"/>
        <v>4260000000</v>
      </c>
      <c r="K428" s="1" t="s">
        <v>12</v>
      </c>
      <c r="L428" s="4" t="s">
        <v>174</v>
      </c>
      <c r="M428" s="8" t="s">
        <v>896</v>
      </c>
      <c r="N428" s="4" t="str">
        <f t="shared" si="13"/>
        <v>('1424','RPT_009', 'LabaTrialBalance3rdSegment', '4260000000 -  Pengembang Kawasan Wisata - Sewa', 'Pendapatan Usaha', 'Perhotelan &amp; Manajemen Perjalanan - Kamar', '425', '67', 'AND ma.main_account_id IN (4260000000)', 'E', 'Pengembang Kawasan Wisata - Sewa', 0, 0),</v>
      </c>
    </row>
    <row r="429" spans="1:14" ht="31.2" x14ac:dyDescent="0.3">
      <c r="A429" s="4">
        <v>1425</v>
      </c>
      <c r="B429" s="4" t="s">
        <v>177</v>
      </c>
      <c r="C429" s="4" t="s">
        <v>178</v>
      </c>
      <c r="D429" s="6" t="s">
        <v>539</v>
      </c>
      <c r="E429" s="4" t="s">
        <v>24</v>
      </c>
      <c r="F429" s="9" t="s">
        <v>854</v>
      </c>
      <c r="G429" s="4">
        <v>426</v>
      </c>
      <c r="H429" s="4">
        <v>68</v>
      </c>
      <c r="I429" s="4" t="s">
        <v>934</v>
      </c>
      <c r="J429" s="4" t="str">
        <f t="shared" si="12"/>
        <v>4260010000</v>
      </c>
      <c r="K429" s="1" t="s">
        <v>12</v>
      </c>
      <c r="L429" s="4" t="s">
        <v>174</v>
      </c>
      <c r="M429" s="8" t="s">
        <v>896</v>
      </c>
      <c r="N429" s="4" t="str">
        <f t="shared" si="13"/>
        <v>('1425','RPT_009', 'LabaTrialBalance3rdSegment', '4260010000 -  Pendapatan Sewa', 'Pendapatan Usaha', 'Perhotelan &amp; Manajemen Perjalanan - Kamar', '426', '68', 'AND ma.main_account_id IN (4260010000)', 'E', 'Pengembang Kawasan Wisata - Sewa', 0, 0),</v>
      </c>
    </row>
    <row r="430" spans="1:14" ht="31.2" x14ac:dyDescent="0.3">
      <c r="A430" s="4">
        <v>1426</v>
      </c>
      <c r="B430" s="4" t="s">
        <v>177</v>
      </c>
      <c r="C430" s="4" t="s">
        <v>178</v>
      </c>
      <c r="D430" s="7" t="s">
        <v>540</v>
      </c>
      <c r="E430" s="4" t="s">
        <v>24</v>
      </c>
      <c r="F430" s="9" t="s">
        <v>854</v>
      </c>
      <c r="G430" s="4">
        <v>427</v>
      </c>
      <c r="H430" s="4">
        <v>69</v>
      </c>
      <c r="I430" s="4" t="s">
        <v>934</v>
      </c>
      <c r="J430" s="4" t="str">
        <f t="shared" si="12"/>
        <v>4260010003</v>
      </c>
      <c r="K430" s="1" t="s">
        <v>12</v>
      </c>
      <c r="L430" s="4" t="s">
        <v>174</v>
      </c>
      <c r="M430" s="8" t="s">
        <v>896</v>
      </c>
      <c r="N430" s="4" t="str">
        <f t="shared" si="13"/>
        <v>('1426','RPT_009', 'LabaTrialBalance3rdSegment', '4260010003 - Pendapatan Sewa Lahan', 'Pendapatan Usaha', 'Perhotelan &amp; Manajemen Perjalanan - Kamar', '427', '69', 'AND ma.main_account_id IN (4260010003)', 'E', 'Pengembang Kawasan Wisata - Sewa', 0, 0),</v>
      </c>
    </row>
    <row r="431" spans="1:14" ht="31.2" x14ac:dyDescent="0.3">
      <c r="A431" s="4">
        <v>1427</v>
      </c>
      <c r="B431" s="4" t="s">
        <v>177</v>
      </c>
      <c r="C431" s="4" t="s">
        <v>178</v>
      </c>
      <c r="D431" s="7" t="s">
        <v>541</v>
      </c>
      <c r="E431" s="4" t="s">
        <v>24</v>
      </c>
      <c r="F431" s="9" t="s">
        <v>854</v>
      </c>
      <c r="G431" s="4">
        <v>428</v>
      </c>
      <c r="H431" s="4">
        <v>70</v>
      </c>
      <c r="I431" s="4" t="s">
        <v>934</v>
      </c>
      <c r="J431" s="4" t="str">
        <f t="shared" si="12"/>
        <v>4260010005</v>
      </c>
      <c r="K431" s="1" t="s">
        <v>12</v>
      </c>
      <c r="L431" s="4" t="s">
        <v>174</v>
      </c>
      <c r="M431" s="8" t="s">
        <v>896</v>
      </c>
      <c r="N431" s="4" t="str">
        <f t="shared" si="13"/>
        <v>('1427','RPT_009', 'LabaTrialBalance3rdSegment', '4260010005 - Pendapatan Sewa Tempat', 'Pendapatan Usaha', 'Perhotelan &amp; Manajemen Perjalanan - Kamar', '428', '70', 'AND ma.main_account_id IN (4260010005)', 'E', 'Pengembang Kawasan Wisata - Sewa', 0, 0),</v>
      </c>
    </row>
    <row r="432" spans="1:14" ht="31.2" x14ac:dyDescent="0.3">
      <c r="A432" s="4">
        <v>1428</v>
      </c>
      <c r="B432" s="4" t="s">
        <v>177</v>
      </c>
      <c r="C432" s="4" t="s">
        <v>178</v>
      </c>
      <c r="D432" s="5" t="s">
        <v>163</v>
      </c>
      <c r="E432" s="4" t="s">
        <v>24</v>
      </c>
      <c r="F432" s="9" t="s">
        <v>854</v>
      </c>
      <c r="G432" s="4">
        <v>429</v>
      </c>
      <c r="H432" s="4">
        <v>71</v>
      </c>
      <c r="I432" s="4" t="s">
        <v>934</v>
      </c>
      <c r="J432" s="4" t="str">
        <f t="shared" si="12"/>
        <v>4264000000</v>
      </c>
      <c r="K432" s="1" t="s">
        <v>12</v>
      </c>
      <c r="L432" s="4" t="s">
        <v>174</v>
      </c>
      <c r="M432" s="8" t="s">
        <v>891</v>
      </c>
      <c r="N432" s="4" t="str">
        <f t="shared" si="13"/>
        <v>('1428','RPT_009', 'LabaTrialBalance3rdSegment', '4264000000 -  Pengembang Kawasan Wisata - Optimalisasi Lahan', 'Pendapatan Usaha', 'Perhotelan &amp; Manajemen Perjalanan - Kamar', '429', '71', 'AND ma.main_account_id IN (4264000000)', 'E', 'Pengembang Kawasan Wisata - Optimalisasi Lahan', 0, 0),</v>
      </c>
    </row>
    <row r="433" spans="1:14" ht="31.2" x14ac:dyDescent="0.3">
      <c r="A433" s="4">
        <v>1429</v>
      </c>
      <c r="B433" s="4" t="s">
        <v>177</v>
      </c>
      <c r="C433" s="4" t="s">
        <v>178</v>
      </c>
      <c r="D433" s="6" t="s">
        <v>542</v>
      </c>
      <c r="E433" s="4" t="s">
        <v>24</v>
      </c>
      <c r="F433" s="9" t="s">
        <v>854</v>
      </c>
      <c r="G433" s="4">
        <v>430</v>
      </c>
      <c r="H433" s="4">
        <v>72</v>
      </c>
      <c r="I433" s="4" t="s">
        <v>934</v>
      </c>
      <c r="J433" s="4" t="str">
        <f t="shared" si="12"/>
        <v>4264010000</v>
      </c>
      <c r="K433" s="1" t="s">
        <v>12</v>
      </c>
      <c r="L433" s="4" t="s">
        <v>174</v>
      </c>
      <c r="M433" s="8" t="s">
        <v>891</v>
      </c>
      <c r="N433" s="4" t="str">
        <f t="shared" si="13"/>
        <v>('1429','RPT_009', 'LabaTrialBalance3rdSegment', '4264010000 -  Komersialisasi Lahan', 'Pendapatan Usaha', 'Perhotelan &amp; Manajemen Perjalanan - Kamar', '430', '72', 'AND ma.main_account_id IN (4264010000)', 'E', 'Pengembang Kawasan Wisata - Optimalisasi Lahan', 0, 0),</v>
      </c>
    </row>
    <row r="434" spans="1:14" ht="31.2" x14ac:dyDescent="0.3">
      <c r="A434" s="4">
        <v>1430</v>
      </c>
      <c r="B434" s="4" t="s">
        <v>177</v>
      </c>
      <c r="C434" s="4" t="s">
        <v>178</v>
      </c>
      <c r="D434" s="7" t="s">
        <v>543</v>
      </c>
      <c r="E434" s="4" t="s">
        <v>24</v>
      </c>
      <c r="F434" s="9" t="s">
        <v>854</v>
      </c>
      <c r="G434" s="4">
        <v>431</v>
      </c>
      <c r="H434" s="4">
        <v>73</v>
      </c>
      <c r="I434" s="4" t="s">
        <v>934</v>
      </c>
      <c r="J434" s="4" t="str">
        <f t="shared" si="12"/>
        <v>4264010001</v>
      </c>
      <c r="K434" s="1" t="s">
        <v>12</v>
      </c>
      <c r="L434" s="4" t="s">
        <v>174</v>
      </c>
      <c r="M434" s="8" t="s">
        <v>891</v>
      </c>
      <c r="N434" s="4" t="str">
        <f t="shared" si="13"/>
        <v>('1430','RPT_009', 'LabaTrialBalance3rdSegment', '4264010001 - Pendapatan Optimalisasi Aset', 'Pendapatan Usaha', 'Perhotelan &amp; Manajemen Perjalanan - Kamar', '431', '73', 'AND ma.main_account_id IN (4264010001)', 'E', 'Pengembang Kawasan Wisata - Optimalisasi Lahan', 0, 0),</v>
      </c>
    </row>
    <row r="435" spans="1:14" ht="31.2" x14ac:dyDescent="0.3">
      <c r="A435" s="4">
        <v>1431</v>
      </c>
      <c r="B435" s="4" t="s">
        <v>177</v>
      </c>
      <c r="C435" s="4" t="s">
        <v>178</v>
      </c>
      <c r="D435" s="5" t="s">
        <v>35</v>
      </c>
      <c r="E435" s="4" t="s">
        <v>24</v>
      </c>
      <c r="F435" s="9" t="s">
        <v>854</v>
      </c>
      <c r="G435" s="4">
        <v>432</v>
      </c>
      <c r="H435" s="4">
        <v>74</v>
      </c>
      <c r="I435" s="4" t="s">
        <v>934</v>
      </c>
      <c r="J435" s="4" t="str">
        <f t="shared" si="12"/>
        <v>4266000000</v>
      </c>
      <c r="K435" s="1" t="s">
        <v>12</v>
      </c>
      <c r="L435" s="4" t="s">
        <v>174</v>
      </c>
      <c r="M435" s="8" t="s">
        <v>897</v>
      </c>
      <c r="N435" s="4" t="str">
        <f t="shared" si="13"/>
        <v>('1431','RPT_009', 'LabaTrialBalance3rdSegment', '4266000000 -  Pengembang Kawasan Wisata - Revenue Sharing', 'Pendapatan Usaha', 'Perhotelan &amp; Manajemen Perjalanan - Kamar', '432', '74', 'AND ma.main_account_id IN (4266000000)', 'E', 'Pengembang Kawasan Wisata - Revenue Sharing', 0, 0),</v>
      </c>
    </row>
    <row r="436" spans="1:14" ht="31.2" x14ac:dyDescent="0.3">
      <c r="A436" s="4">
        <v>1432</v>
      </c>
      <c r="B436" s="4" t="s">
        <v>177</v>
      </c>
      <c r="C436" s="4" t="s">
        <v>178</v>
      </c>
      <c r="D436" s="6" t="s">
        <v>544</v>
      </c>
      <c r="E436" s="4" t="s">
        <v>24</v>
      </c>
      <c r="F436" s="9" t="s">
        <v>854</v>
      </c>
      <c r="G436" s="4">
        <v>433</v>
      </c>
      <c r="H436" s="4">
        <v>75</v>
      </c>
      <c r="I436" s="4" t="s">
        <v>934</v>
      </c>
      <c r="J436" s="4" t="str">
        <f t="shared" si="12"/>
        <v>4266010000</v>
      </c>
      <c r="K436" s="1" t="s">
        <v>12</v>
      </c>
      <c r="L436" s="4" t="s">
        <v>174</v>
      </c>
      <c r="M436" s="8" t="s">
        <v>897</v>
      </c>
      <c r="N436" s="4" t="str">
        <f t="shared" si="13"/>
        <v>('1432','RPT_009', 'LabaTrialBalance3rdSegment', '4266010000 -  Revenue Sharing', 'Pendapatan Usaha', 'Perhotelan &amp; Manajemen Perjalanan - Kamar', '433', '75', 'AND ma.main_account_id IN (4266010000)', 'E', 'Pengembang Kawasan Wisata - Revenue Sharing', 0, 0),</v>
      </c>
    </row>
    <row r="437" spans="1:14" ht="31.2" x14ac:dyDescent="0.3">
      <c r="A437" s="4">
        <v>1433</v>
      </c>
      <c r="B437" s="4" t="s">
        <v>177</v>
      </c>
      <c r="C437" s="4" t="s">
        <v>178</v>
      </c>
      <c r="D437" s="7" t="s">
        <v>545</v>
      </c>
      <c r="E437" s="4" t="s">
        <v>24</v>
      </c>
      <c r="F437" s="9" t="s">
        <v>854</v>
      </c>
      <c r="G437" s="4">
        <v>434</v>
      </c>
      <c r="H437" s="4">
        <v>76</v>
      </c>
      <c r="I437" s="4" t="s">
        <v>934</v>
      </c>
      <c r="J437" s="4" t="str">
        <f t="shared" si="12"/>
        <v>4266010001</v>
      </c>
      <c r="K437" s="1" t="s">
        <v>12</v>
      </c>
      <c r="L437" s="4" t="s">
        <v>174</v>
      </c>
      <c r="M437" s="8" t="s">
        <v>897</v>
      </c>
      <c r="N437" s="4" t="str">
        <f t="shared" si="13"/>
        <v>('1433','RPT_009', 'LabaTrialBalance3rdSegment', '4266010001 - Revenue Sharing - Others', 'Pendapatan Usaha', 'Perhotelan &amp; Manajemen Perjalanan - Kamar', '434', '76', 'AND ma.main_account_id IN (4266010001)', 'E', 'Pengembang Kawasan Wisata - Revenue Sharing', 0, 0),</v>
      </c>
    </row>
    <row r="438" spans="1:14" ht="31.2" x14ac:dyDescent="0.3">
      <c r="A438" s="4">
        <v>1434</v>
      </c>
      <c r="B438" s="4" t="s">
        <v>177</v>
      </c>
      <c r="C438" s="4" t="s">
        <v>178</v>
      </c>
      <c r="D438" s="5" t="s">
        <v>164</v>
      </c>
      <c r="E438" s="4" t="s">
        <v>24</v>
      </c>
      <c r="F438" s="9" t="s">
        <v>854</v>
      </c>
      <c r="G438" s="4">
        <v>435</v>
      </c>
      <c r="H438" s="4">
        <v>77</v>
      </c>
      <c r="I438" s="4" t="s">
        <v>934</v>
      </c>
      <c r="J438" s="4" t="str">
        <f t="shared" si="12"/>
        <v>4269000000</v>
      </c>
      <c r="K438" s="1" t="s">
        <v>12</v>
      </c>
      <c r="L438" s="4" t="s">
        <v>174</v>
      </c>
      <c r="M438" s="8" t="s">
        <v>898</v>
      </c>
      <c r="N438" s="4" t="str">
        <f t="shared" si="13"/>
        <v>('1434','RPT_009', 'LabaTrialBalance3rdSegment', '4269000000 -  Pengembang Kawasan Wisata - Lainnya', 'Pendapatan Usaha', 'Perhotelan &amp; Manajemen Perjalanan - Kamar', '435', '77', 'AND ma.main_account_id IN (4269000000)', 'E', 'Pengembang Kawasan Wisata - Lainnya', 0, 0),</v>
      </c>
    </row>
    <row r="439" spans="1:14" ht="31.2" x14ac:dyDescent="0.3">
      <c r="A439" s="4">
        <v>1435</v>
      </c>
      <c r="B439" s="4" t="s">
        <v>177</v>
      </c>
      <c r="C439" s="4" t="s">
        <v>178</v>
      </c>
      <c r="D439" s="6" t="s">
        <v>546</v>
      </c>
      <c r="E439" s="4" t="s">
        <v>24</v>
      </c>
      <c r="F439" s="9" t="s">
        <v>854</v>
      </c>
      <c r="G439" s="4">
        <v>436</v>
      </c>
      <c r="H439" s="4">
        <v>78</v>
      </c>
      <c r="I439" s="4" t="s">
        <v>934</v>
      </c>
      <c r="J439" s="4" t="str">
        <f t="shared" si="12"/>
        <v>4269010000</v>
      </c>
      <c r="K439" s="1" t="s">
        <v>12</v>
      </c>
      <c r="L439" s="4" t="s">
        <v>174</v>
      </c>
      <c r="M439" s="8" t="s">
        <v>898</v>
      </c>
      <c r="N439" s="4" t="str">
        <f t="shared" si="13"/>
        <v>('1435','RPT_009', 'LabaTrialBalance3rdSegment', '4269010000 -  DTW Water Blow', 'Pendapatan Usaha', 'Perhotelan &amp; Manajemen Perjalanan - Kamar', '436', '78', 'AND ma.main_account_id IN (4269010000)', 'E', 'Pengembang Kawasan Wisata - Lainnya', 0, 0),</v>
      </c>
    </row>
    <row r="440" spans="1:14" ht="31.2" x14ac:dyDescent="0.3">
      <c r="A440" s="4">
        <v>1436</v>
      </c>
      <c r="B440" s="4" t="s">
        <v>177</v>
      </c>
      <c r="C440" s="4" t="s">
        <v>178</v>
      </c>
      <c r="D440" s="7" t="s">
        <v>547</v>
      </c>
      <c r="E440" s="4" t="s">
        <v>24</v>
      </c>
      <c r="F440" s="9" t="s">
        <v>854</v>
      </c>
      <c r="G440" s="4">
        <v>437</v>
      </c>
      <c r="H440" s="4">
        <v>79</v>
      </c>
      <c r="I440" s="4" t="s">
        <v>934</v>
      </c>
      <c r="J440" s="4" t="str">
        <f t="shared" si="12"/>
        <v>4269010001</v>
      </c>
      <c r="K440" s="1" t="s">
        <v>12</v>
      </c>
      <c r="L440" s="4" t="s">
        <v>174</v>
      </c>
      <c r="M440" s="8" t="s">
        <v>898</v>
      </c>
      <c r="N440" s="4" t="str">
        <f t="shared" si="13"/>
        <v>('1436','RPT_009', 'LabaTrialBalance3rdSegment', '4269010001 - Pendapatan DTW', 'Pendapatan Usaha', 'Perhotelan &amp; Manajemen Perjalanan - Kamar', '437', '79', 'AND ma.main_account_id IN (4269010001)', 'E', 'Pengembang Kawasan Wisata - Lainnya', 0, 0),</v>
      </c>
    </row>
    <row r="441" spans="1:14" ht="31.2" x14ac:dyDescent="0.3">
      <c r="A441" s="4">
        <v>1437</v>
      </c>
      <c r="B441" s="4" t="s">
        <v>177</v>
      </c>
      <c r="C441" s="4" t="s">
        <v>178</v>
      </c>
      <c r="D441" s="6" t="s">
        <v>548</v>
      </c>
      <c r="E441" s="4" t="s">
        <v>24</v>
      </c>
      <c r="F441" s="9" t="s">
        <v>854</v>
      </c>
      <c r="G441" s="4">
        <v>438</v>
      </c>
      <c r="H441" s="4">
        <v>80</v>
      </c>
      <c r="I441" s="4" t="s">
        <v>934</v>
      </c>
      <c r="J441" s="4" t="str">
        <f t="shared" si="12"/>
        <v>4269990000</v>
      </c>
      <c r="K441" s="1" t="s">
        <v>12</v>
      </c>
      <c r="L441" s="4" t="s">
        <v>174</v>
      </c>
      <c r="M441" s="8" t="s">
        <v>898</v>
      </c>
      <c r="N441" s="4" t="str">
        <f t="shared" si="13"/>
        <v>('1437','RPT_009', 'LabaTrialBalance3rdSegment', '4269990000 -  Pendapatan Usaha Lainnya', 'Pendapatan Usaha', 'Perhotelan &amp; Manajemen Perjalanan - Kamar', '438', '80', 'AND ma.main_account_id IN (4269990000)', 'E', 'Pengembang Kawasan Wisata - Lainnya', 0, 0),</v>
      </c>
    </row>
    <row r="442" spans="1:14" ht="31.2" x14ac:dyDescent="0.3">
      <c r="A442" s="4">
        <v>1438</v>
      </c>
      <c r="B442" s="4" t="s">
        <v>177</v>
      </c>
      <c r="C442" s="4" t="s">
        <v>178</v>
      </c>
      <c r="D442" s="7" t="s">
        <v>549</v>
      </c>
      <c r="E442" s="4" t="s">
        <v>24</v>
      </c>
      <c r="F442" s="9" t="s">
        <v>854</v>
      </c>
      <c r="G442" s="4">
        <v>439</v>
      </c>
      <c r="H442" s="4">
        <v>81</v>
      </c>
      <c r="I442" s="4" t="s">
        <v>934</v>
      </c>
      <c r="J442" s="4" t="str">
        <f t="shared" si="12"/>
        <v>4269990001</v>
      </c>
      <c r="K442" s="1" t="s">
        <v>12</v>
      </c>
      <c r="L442" s="4" t="s">
        <v>174</v>
      </c>
      <c r="M442" s="8" t="s">
        <v>898</v>
      </c>
      <c r="N442" s="4" t="str">
        <f t="shared" si="13"/>
        <v>('1438','RPT_009', 'LabaTrialBalance3rdSegment', '4269990001 - Pendapatan Pulau', 'Pendapatan Usaha', 'Perhotelan &amp; Manajemen Perjalanan - Kamar', '439', '81', 'AND ma.main_account_id IN (4269990001)', 'E', 'Pengembang Kawasan Wisata - Lainnya', 0, 0),</v>
      </c>
    </row>
    <row r="443" spans="1:14" ht="31.2" x14ac:dyDescent="0.3">
      <c r="A443" s="4">
        <v>1439</v>
      </c>
      <c r="B443" s="4" t="s">
        <v>177</v>
      </c>
      <c r="C443" s="4" t="s">
        <v>178</v>
      </c>
      <c r="D443" s="7" t="s">
        <v>550</v>
      </c>
      <c r="E443" s="4" t="s">
        <v>24</v>
      </c>
      <c r="F443" s="9" t="s">
        <v>854</v>
      </c>
      <c r="G443" s="4">
        <v>440</v>
      </c>
      <c r="H443" s="4">
        <v>82</v>
      </c>
      <c r="I443" s="4" t="s">
        <v>934</v>
      </c>
      <c r="J443" s="4" t="str">
        <f t="shared" si="12"/>
        <v>4269990002</v>
      </c>
      <c r="K443" s="1" t="s">
        <v>12</v>
      </c>
      <c r="L443" s="4" t="s">
        <v>174</v>
      </c>
      <c r="M443" s="8" t="s">
        <v>898</v>
      </c>
      <c r="N443" s="4" t="str">
        <f t="shared" si="13"/>
        <v>('1439','RPT_009', 'LabaTrialBalance3rdSegment', '4269990002 - Pendapatan Usaha Lainnya', 'Pendapatan Usaha', 'Perhotelan &amp; Manajemen Perjalanan - Kamar', '440', '82', 'AND ma.main_account_id IN (4269990002)', 'E', 'Pengembang Kawasan Wisata - Lainnya', 0, 0),</v>
      </c>
    </row>
    <row r="444" spans="1:14" x14ac:dyDescent="0.3">
      <c r="A444" s="4">
        <v>1440</v>
      </c>
      <c r="B444" s="4" t="s">
        <v>177</v>
      </c>
      <c r="C444" s="4" t="s">
        <v>178</v>
      </c>
      <c r="D444" s="3" t="s">
        <v>36</v>
      </c>
      <c r="E444" s="4" t="s">
        <v>24</v>
      </c>
      <c r="F444" s="9" t="s">
        <v>37</v>
      </c>
      <c r="G444" s="4">
        <v>441</v>
      </c>
      <c r="H444" s="4">
        <v>83</v>
      </c>
      <c r="I444" s="4" t="s">
        <v>934</v>
      </c>
      <c r="J444" s="4" t="str">
        <f t="shared" si="12"/>
        <v>4300000000</v>
      </c>
      <c r="K444" s="1" t="s">
        <v>12</v>
      </c>
      <c r="L444" s="4" t="s">
        <v>174</v>
      </c>
      <c r="M444" s="10" t="s">
        <v>37</v>
      </c>
      <c r="N444" s="4" t="str">
        <f t="shared" si="13"/>
        <v>('1440','RPT_009', 'LabaTrialBalance3rdSegment', '4300000000 - Operator', 'Pendapatan Usaha', 'Operator', '441', '83', 'AND ma.main_account_id IN (4300000000)', 'E', 'Operator', 0, 0),</v>
      </c>
    </row>
    <row r="445" spans="1:14" ht="31.2" x14ac:dyDescent="0.3">
      <c r="A445" s="4">
        <v>1441</v>
      </c>
      <c r="B445" s="4" t="s">
        <v>177</v>
      </c>
      <c r="C445" s="4" t="s">
        <v>178</v>
      </c>
      <c r="D445" s="5" t="s">
        <v>38</v>
      </c>
      <c r="E445" s="4" t="s">
        <v>24</v>
      </c>
      <c r="F445" s="9" t="s">
        <v>37</v>
      </c>
      <c r="G445" s="4">
        <v>442</v>
      </c>
      <c r="H445" s="4">
        <v>84</v>
      </c>
      <c r="I445" s="4" t="s">
        <v>934</v>
      </c>
      <c r="J445" s="4" t="str">
        <f t="shared" si="12"/>
        <v>4344000000</v>
      </c>
      <c r="K445" s="1" t="s">
        <v>12</v>
      </c>
      <c r="L445" s="4" t="s">
        <v>174</v>
      </c>
      <c r="M445" s="8" t="s">
        <v>886</v>
      </c>
      <c r="N445" s="4" t="str">
        <f t="shared" si="13"/>
        <v>('1441','RPT_009', 'LabaTrialBalance3rdSegment', '4344000000 -  Operator Atraksi - Event Organiser', 'Pendapatan Usaha', 'Operator', '442', '84', 'AND ma.main_account_id IN (4344000000)', 'E', 'Operator Atraksi - Event Organiser', 0, 0),</v>
      </c>
    </row>
    <row r="446" spans="1:14" ht="31.2" x14ac:dyDescent="0.3">
      <c r="A446" s="4">
        <v>1442</v>
      </c>
      <c r="B446" s="4" t="s">
        <v>177</v>
      </c>
      <c r="C446" s="4" t="s">
        <v>178</v>
      </c>
      <c r="D446" s="6" t="s">
        <v>551</v>
      </c>
      <c r="E446" s="4" t="s">
        <v>24</v>
      </c>
      <c r="F446" s="9" t="s">
        <v>37</v>
      </c>
      <c r="G446" s="4">
        <v>443</v>
      </c>
      <c r="H446" s="4">
        <v>85</v>
      </c>
      <c r="I446" s="4" t="s">
        <v>934</v>
      </c>
      <c r="J446" s="4" t="str">
        <f t="shared" si="12"/>
        <v>4344100000</v>
      </c>
      <c r="K446" s="1" t="s">
        <v>12</v>
      </c>
      <c r="L446" s="4" t="s">
        <v>174</v>
      </c>
      <c r="M446" s="8" t="s">
        <v>886</v>
      </c>
      <c r="N446" s="4" t="str">
        <f t="shared" si="13"/>
        <v>('1442','RPT_009', 'LabaTrialBalance3rdSegment', '4344100000 -  Operator - Fixed Fee', 'Pendapatan Usaha', 'Operator', '443', '85', 'AND ma.main_account_id IN (4344100000)', 'E', 'Operator Atraksi - Event Organiser', 0, 0),</v>
      </c>
    </row>
    <row r="447" spans="1:14" ht="31.2" x14ac:dyDescent="0.3">
      <c r="A447" s="4">
        <v>1443</v>
      </c>
      <c r="B447" s="4" t="s">
        <v>177</v>
      </c>
      <c r="C447" s="4" t="s">
        <v>178</v>
      </c>
      <c r="D447" s="7" t="s">
        <v>552</v>
      </c>
      <c r="E447" s="4" t="s">
        <v>24</v>
      </c>
      <c r="F447" s="9" t="s">
        <v>37</v>
      </c>
      <c r="G447" s="4">
        <v>444</v>
      </c>
      <c r="H447" s="4">
        <v>86</v>
      </c>
      <c r="I447" s="4" t="s">
        <v>934</v>
      </c>
      <c r="J447" s="4" t="str">
        <f t="shared" si="12"/>
        <v>4344100001</v>
      </c>
      <c r="K447" s="1" t="s">
        <v>12</v>
      </c>
      <c r="L447" s="4" t="s">
        <v>174</v>
      </c>
      <c r="M447" s="8" t="s">
        <v>886</v>
      </c>
      <c r="N447" s="4" t="str">
        <f t="shared" si="13"/>
        <v>('1443','RPT_009', 'LabaTrialBalance3rdSegment', '4344100001 - Pendapatan Fee Jasa Event Organizer', 'Pendapatan Usaha', 'Operator', '444', '86', 'AND ma.main_account_id IN (4344100001)', 'E', 'Operator Atraksi - Event Organiser', 0, 0),</v>
      </c>
    </row>
    <row r="448" spans="1:14" ht="31.2" x14ac:dyDescent="0.3">
      <c r="A448" s="4">
        <v>1444</v>
      </c>
      <c r="B448" s="4" t="s">
        <v>177</v>
      </c>
      <c r="C448" s="4" t="s">
        <v>178</v>
      </c>
      <c r="D448" s="5" t="s">
        <v>39</v>
      </c>
      <c r="E448" s="4" t="s">
        <v>24</v>
      </c>
      <c r="F448" s="9" t="s">
        <v>37</v>
      </c>
      <c r="G448" s="4">
        <v>445</v>
      </c>
      <c r="H448" s="4">
        <v>87</v>
      </c>
      <c r="I448" s="4" t="s">
        <v>934</v>
      </c>
      <c r="J448" s="4" t="str">
        <f t="shared" si="12"/>
        <v>4369000000</v>
      </c>
      <c r="K448" s="1" t="s">
        <v>12</v>
      </c>
      <c r="L448" s="4" t="s">
        <v>174</v>
      </c>
      <c r="M448" s="8" t="s">
        <v>898</v>
      </c>
      <c r="N448" s="4" t="str">
        <f t="shared" si="13"/>
        <v>('1444','RPT_009', 'LabaTrialBalance3rdSegment', '4369000000 -  Pengembang Kawasan Wisata - Lainnya', 'Pendapatan Usaha', 'Operator', '445', '87', 'AND ma.main_account_id IN (4369000000)', 'E', 'Pengembang Kawasan Wisata - Lainnya', 0, 0),</v>
      </c>
    </row>
    <row r="449" spans="1:14" ht="31.2" x14ac:dyDescent="0.3">
      <c r="A449" s="4">
        <v>1445</v>
      </c>
      <c r="B449" s="4" t="s">
        <v>177</v>
      </c>
      <c r="C449" s="4" t="s">
        <v>178</v>
      </c>
      <c r="D449" s="6" t="s">
        <v>553</v>
      </c>
      <c r="E449" s="4" t="s">
        <v>24</v>
      </c>
      <c r="F449" s="9" t="s">
        <v>37</v>
      </c>
      <c r="G449" s="4">
        <v>446</v>
      </c>
      <c r="H449" s="4">
        <v>88</v>
      </c>
      <c r="I449" s="4" t="s">
        <v>934</v>
      </c>
      <c r="J449" s="4" t="str">
        <f t="shared" si="12"/>
        <v>4369030000</v>
      </c>
      <c r="K449" s="1" t="s">
        <v>12</v>
      </c>
      <c r="L449" s="4" t="s">
        <v>174</v>
      </c>
      <c r="M449" s="8" t="s">
        <v>898</v>
      </c>
      <c r="N449" s="4" t="str">
        <f t="shared" si="13"/>
        <v>('1445','RPT_009', 'LabaTrialBalance3rdSegment', '4369030000 -  Pendapatan Usaha Lainnya', 'Pendapatan Usaha', 'Operator', '446', '88', 'AND ma.main_account_id IN (4369030000)', 'E', 'Pengembang Kawasan Wisata - Lainnya', 0, 0),</v>
      </c>
    </row>
    <row r="450" spans="1:14" ht="31.2" x14ac:dyDescent="0.3">
      <c r="A450" s="4">
        <v>1446</v>
      </c>
      <c r="B450" s="4" t="s">
        <v>177</v>
      </c>
      <c r="C450" s="4" t="s">
        <v>178</v>
      </c>
      <c r="D450" s="7" t="s">
        <v>554</v>
      </c>
      <c r="E450" s="4" t="s">
        <v>24</v>
      </c>
      <c r="F450" s="9" t="s">
        <v>37</v>
      </c>
      <c r="G450" s="4">
        <v>447</v>
      </c>
      <c r="H450" s="4">
        <v>89</v>
      </c>
      <c r="I450" s="4" t="s">
        <v>934</v>
      </c>
      <c r="J450" s="4" t="str">
        <f t="shared" si="12"/>
        <v>4369030001</v>
      </c>
      <c r="K450" s="1" t="s">
        <v>12</v>
      </c>
      <c r="L450" s="4" t="s">
        <v>174</v>
      </c>
      <c r="M450" s="8" t="s">
        <v>898</v>
      </c>
      <c r="N450" s="4" t="str">
        <f t="shared" si="13"/>
        <v>('1446','RPT_009', 'LabaTrialBalance3rdSegment', '4369030001 - Pendapatan Usaha Lainnya', 'Pendapatan Usaha', 'Operator', '447', '89', 'AND ma.main_account_id IN (4369030001)', 'E', 'Pengembang Kawasan Wisata - Lainnya', 0, 0),</v>
      </c>
    </row>
    <row r="451" spans="1:14" x14ac:dyDescent="0.3">
      <c r="A451" s="4">
        <v>1447</v>
      </c>
      <c r="B451" s="4" t="s">
        <v>177</v>
      </c>
      <c r="C451" s="4" t="s">
        <v>178</v>
      </c>
      <c r="D451" s="2" t="s">
        <v>165</v>
      </c>
      <c r="E451" s="4" t="s">
        <v>40</v>
      </c>
      <c r="F451" s="9" t="s">
        <v>40</v>
      </c>
      <c r="G451" s="4">
        <v>448</v>
      </c>
      <c r="H451" s="4">
        <v>1</v>
      </c>
      <c r="I451" s="4" t="s">
        <v>934</v>
      </c>
      <c r="J451" s="4" t="str">
        <f t="shared" si="12"/>
        <v>5000000000</v>
      </c>
      <c r="K451" s="1" t="s">
        <v>12</v>
      </c>
      <c r="L451" s="4" t="s">
        <v>175</v>
      </c>
      <c r="M451" s="8" t="s">
        <v>40</v>
      </c>
      <c r="N451" s="4" t="str">
        <f t="shared" si="13"/>
        <v>('1447','RPT_009', 'LabaTrialBalance3rdSegment', '5000000000 - Beban Pokok Pendapatan', 'Beban Pokok Pendapatan', 'Beban Pokok Pendapatan', '448', '1', 'AND ma.main_account_id IN (5000000000)', 'F', 'Beban Pokok Pendapatan', 0, 0),</v>
      </c>
    </row>
    <row r="452" spans="1:14" x14ac:dyDescent="0.3">
      <c r="A452" s="4">
        <v>1448</v>
      </c>
      <c r="B452" s="4" t="s">
        <v>177</v>
      </c>
      <c r="C452" s="4" t="s">
        <v>178</v>
      </c>
      <c r="D452" s="3" t="s">
        <v>41</v>
      </c>
      <c r="E452" s="4" t="s">
        <v>40</v>
      </c>
      <c r="F452" s="9" t="s">
        <v>26</v>
      </c>
      <c r="G452" s="4">
        <v>449</v>
      </c>
      <c r="H452" s="4">
        <v>2</v>
      </c>
      <c r="I452" s="4" t="s">
        <v>934</v>
      </c>
      <c r="J452" s="4" t="str">
        <f t="shared" ref="J452:J515" si="14">_xlfn.TEXTBEFORE(D452," -")</f>
        <v>5100000000</v>
      </c>
      <c r="K452" s="1" t="s">
        <v>12</v>
      </c>
      <c r="L452" s="4" t="s">
        <v>175</v>
      </c>
      <c r="M452" s="8" t="s">
        <v>26</v>
      </c>
      <c r="N452" s="4" t="str">
        <f t="shared" si="13"/>
        <v>('1448','RPT_009', 'LabaTrialBalance3rdSegment', '5100000000 - Pemilik dan Operator', 'Beban Pokok Pendapatan', 'Pemilik dan Operator', '449', '2', 'AND ma.main_account_id IN (5100000000)', 'F', 'Pemilik dan Operator', 0, 0),</v>
      </c>
    </row>
    <row r="453" spans="1:14" x14ac:dyDescent="0.3">
      <c r="A453" s="4">
        <v>1449</v>
      </c>
      <c r="B453" s="4" t="s">
        <v>177</v>
      </c>
      <c r="C453" s="4" t="s">
        <v>178</v>
      </c>
      <c r="D453" s="5" t="s">
        <v>42</v>
      </c>
      <c r="E453" s="4" t="s">
        <v>40</v>
      </c>
      <c r="F453" s="9" t="s">
        <v>26</v>
      </c>
      <c r="G453" s="4">
        <v>450</v>
      </c>
      <c r="H453" s="4">
        <v>3</v>
      </c>
      <c r="I453" s="4" t="s">
        <v>934</v>
      </c>
      <c r="J453" s="4" t="str">
        <f t="shared" si="14"/>
        <v>5141000000</v>
      </c>
      <c r="K453" s="1" t="s">
        <v>12</v>
      </c>
      <c r="L453" s="4" t="s">
        <v>175</v>
      </c>
      <c r="M453" s="8" t="s">
        <v>885</v>
      </c>
      <c r="N453" s="4" t="str">
        <f t="shared" ref="N453:N516" si="15">"('"&amp;A453&amp;"','"&amp;B453&amp;"', '"&amp;C453&amp;"', '"&amp;D453&amp;"', '"&amp;E453&amp;"', '"&amp;F453&amp;"', '"&amp;G453&amp;"', '"&amp;H453&amp;"', '"&amp;I453&amp;J453&amp;K453&amp;"', '"&amp;L453&amp;"', '"&amp;M453&amp;"', 0, 0),"</f>
        <v>('1449','RPT_009', 'LabaTrialBalance3rdSegment', '5141000000 -  Operator Atraksi - Fasilitas', 'Beban Pokok Pendapatan', 'Pemilik dan Operator', '450', '3', 'AND ma.main_account_id IN (5141000000)', 'F', 'Operator Atraksi - Fasilitas', 0, 0),</v>
      </c>
    </row>
    <row r="454" spans="1:14" x14ac:dyDescent="0.3">
      <c r="A454" s="4">
        <v>1450</v>
      </c>
      <c r="B454" s="4" t="s">
        <v>177</v>
      </c>
      <c r="C454" s="4" t="s">
        <v>178</v>
      </c>
      <c r="D454" s="6" t="s">
        <v>555</v>
      </c>
      <c r="E454" s="4" t="s">
        <v>40</v>
      </c>
      <c r="F454" s="9" t="s">
        <v>26</v>
      </c>
      <c r="G454" s="4">
        <v>451</v>
      </c>
      <c r="H454" s="4">
        <v>4</v>
      </c>
      <c r="I454" s="4" t="s">
        <v>934</v>
      </c>
      <c r="J454" s="4" t="str">
        <f t="shared" si="14"/>
        <v>5141990000</v>
      </c>
      <c r="K454" s="1" t="s">
        <v>12</v>
      </c>
      <c r="L454" s="4" t="s">
        <v>175</v>
      </c>
      <c r="M454" s="8" t="s">
        <v>885</v>
      </c>
      <c r="N454" s="4" t="str">
        <f t="shared" si="15"/>
        <v>('1450','RPT_009', 'LabaTrialBalance3rdSegment', '5141990000 -  Beban Lainnya', 'Beban Pokok Pendapatan', 'Pemilik dan Operator', '451', '4', 'AND ma.main_account_id IN (5141990000)', 'F', 'Operator Atraksi - Fasilitas', 0, 0),</v>
      </c>
    </row>
    <row r="455" spans="1:14" x14ac:dyDescent="0.3">
      <c r="A455" s="4">
        <v>1451</v>
      </c>
      <c r="B455" s="4" t="s">
        <v>177</v>
      </c>
      <c r="C455" s="4" t="s">
        <v>178</v>
      </c>
      <c r="D455" s="7" t="s">
        <v>556</v>
      </c>
      <c r="E455" s="4" t="s">
        <v>40</v>
      </c>
      <c r="F455" s="9" t="s">
        <v>26</v>
      </c>
      <c r="G455" s="4">
        <v>452</v>
      </c>
      <c r="H455" s="4">
        <v>5</v>
      </c>
      <c r="I455" s="4" t="s">
        <v>934</v>
      </c>
      <c r="J455" s="4" t="str">
        <f t="shared" si="14"/>
        <v>5141990002</v>
      </c>
      <c r="K455" s="1" t="s">
        <v>12</v>
      </c>
      <c r="L455" s="4" t="s">
        <v>175</v>
      </c>
      <c r="M455" s="8" t="s">
        <v>885</v>
      </c>
      <c r="N455" s="4" t="str">
        <f t="shared" si="15"/>
        <v>('1451','RPT_009', 'LabaTrialBalance3rdSegment', '5141990002 - Technical Advisor Fee', 'Beban Pokok Pendapatan', 'Pemilik dan Operator', '452', '5', 'AND ma.main_account_id IN (5141990002)', 'F', 'Operator Atraksi - Fasilitas', 0, 0),</v>
      </c>
    </row>
    <row r="456" spans="1:14" ht="31.2" x14ac:dyDescent="0.3">
      <c r="A456" s="4">
        <v>1452</v>
      </c>
      <c r="B456" s="4" t="s">
        <v>177</v>
      </c>
      <c r="C456" s="4" t="s">
        <v>178</v>
      </c>
      <c r="D456" s="5" t="s">
        <v>166</v>
      </c>
      <c r="E456" s="4" t="s">
        <v>40</v>
      </c>
      <c r="F456" s="9" t="s">
        <v>26</v>
      </c>
      <c r="G456" s="4">
        <v>453</v>
      </c>
      <c r="H456" s="4">
        <v>6</v>
      </c>
      <c r="I456" s="4" t="s">
        <v>934</v>
      </c>
      <c r="J456" s="4" t="str">
        <f t="shared" si="14"/>
        <v>5144000000</v>
      </c>
      <c r="K456" s="1" t="s">
        <v>12</v>
      </c>
      <c r="L456" s="4" t="s">
        <v>175</v>
      </c>
      <c r="M456" s="8" t="s">
        <v>886</v>
      </c>
      <c r="N456" s="4" t="str">
        <f t="shared" si="15"/>
        <v>('1452','RPT_009', 'LabaTrialBalance3rdSegment', '5144000000 -  Operator Atraksi - Event Organiser', 'Beban Pokok Pendapatan', 'Pemilik dan Operator', '453', '6', 'AND ma.main_account_id IN (5144000000)', 'F', 'Operator Atraksi - Event Organiser', 0, 0),</v>
      </c>
    </row>
    <row r="457" spans="1:14" ht="31.2" x14ac:dyDescent="0.3">
      <c r="A457" s="4">
        <v>1453</v>
      </c>
      <c r="B457" s="4" t="s">
        <v>177</v>
      </c>
      <c r="C457" s="4" t="s">
        <v>178</v>
      </c>
      <c r="D457" s="6" t="s">
        <v>557</v>
      </c>
      <c r="E457" s="4" t="s">
        <v>40</v>
      </c>
      <c r="F457" s="9" t="s">
        <v>26</v>
      </c>
      <c r="G457" s="4">
        <v>454</v>
      </c>
      <c r="H457" s="4">
        <v>7</v>
      </c>
      <c r="I457" s="4" t="s">
        <v>934</v>
      </c>
      <c r="J457" s="4" t="str">
        <f t="shared" si="14"/>
        <v>5144050000</v>
      </c>
      <c r="K457" s="1" t="s">
        <v>12</v>
      </c>
      <c r="L457" s="4" t="s">
        <v>175</v>
      </c>
      <c r="M457" s="8" t="s">
        <v>886</v>
      </c>
      <c r="N457" s="4" t="str">
        <f t="shared" si="15"/>
        <v>('1453','RPT_009', 'LabaTrialBalance3rdSegment', '5144050000 -  Beban Sewa', 'Beban Pokok Pendapatan', 'Pemilik dan Operator', '454', '7', 'AND ma.main_account_id IN (5144050000)', 'F', 'Operator Atraksi - Event Organiser', 0, 0),</v>
      </c>
    </row>
    <row r="458" spans="1:14" ht="31.2" x14ac:dyDescent="0.3">
      <c r="A458" s="4">
        <v>1454</v>
      </c>
      <c r="B458" s="4" t="s">
        <v>177</v>
      </c>
      <c r="C458" s="4" t="s">
        <v>178</v>
      </c>
      <c r="D458" s="7" t="s">
        <v>558</v>
      </c>
      <c r="E458" s="4" t="s">
        <v>40</v>
      </c>
      <c r="F458" s="9" t="s">
        <v>26</v>
      </c>
      <c r="G458" s="4">
        <v>455</v>
      </c>
      <c r="H458" s="4">
        <v>8</v>
      </c>
      <c r="I458" s="4" t="s">
        <v>934</v>
      </c>
      <c r="J458" s="4" t="str">
        <f t="shared" si="14"/>
        <v>5144050001</v>
      </c>
      <c r="K458" s="1" t="s">
        <v>12</v>
      </c>
      <c r="L458" s="4" t="s">
        <v>175</v>
      </c>
      <c r="M458" s="8" t="s">
        <v>886</v>
      </c>
      <c r="N458" s="4" t="str">
        <f t="shared" si="15"/>
        <v>('1454','RPT_009', 'LabaTrialBalance3rdSegment', '5144050001 - Beban Pokok Pendapatan - Sewa', 'Beban Pokok Pendapatan', 'Pemilik dan Operator', '455', '8', 'AND ma.main_account_id IN (5144050001)', 'F', 'Operator Atraksi - Event Organiser', 0, 0),</v>
      </c>
    </row>
    <row r="459" spans="1:14" ht="31.2" x14ac:dyDescent="0.3">
      <c r="A459" s="4">
        <v>1455</v>
      </c>
      <c r="B459" s="4" t="s">
        <v>177</v>
      </c>
      <c r="C459" s="4" t="s">
        <v>178</v>
      </c>
      <c r="D459" s="7" t="s">
        <v>559</v>
      </c>
      <c r="E459" s="4" t="s">
        <v>40</v>
      </c>
      <c r="F459" s="9" t="s">
        <v>26</v>
      </c>
      <c r="G459" s="4">
        <v>456</v>
      </c>
      <c r="H459" s="4">
        <v>9</v>
      </c>
      <c r="I459" s="4" t="s">
        <v>934</v>
      </c>
      <c r="J459" s="4" t="str">
        <f t="shared" si="14"/>
        <v>5144050002</v>
      </c>
      <c r="K459" s="1" t="s">
        <v>12</v>
      </c>
      <c r="L459" s="4" t="s">
        <v>175</v>
      </c>
      <c r="M459" s="8" t="s">
        <v>886</v>
      </c>
      <c r="N459" s="4" t="str">
        <f t="shared" si="15"/>
        <v>('1455','RPT_009', 'LabaTrialBalance3rdSegment', '5144050002 - Beban Pokok Pendapatan - Event - Race', 'Beban Pokok Pendapatan', 'Pemilik dan Operator', '456', '9', 'AND ma.main_account_id IN (5144050002)', 'F', 'Operator Atraksi - Event Organiser', 0, 0),</v>
      </c>
    </row>
    <row r="460" spans="1:14" ht="31.2" x14ac:dyDescent="0.3">
      <c r="A460" s="4">
        <v>1456</v>
      </c>
      <c r="B460" s="4" t="s">
        <v>177</v>
      </c>
      <c r="C460" s="4" t="s">
        <v>178</v>
      </c>
      <c r="D460" s="7" t="s">
        <v>560</v>
      </c>
      <c r="E460" s="4" t="s">
        <v>40</v>
      </c>
      <c r="F460" s="9" t="s">
        <v>26</v>
      </c>
      <c r="G460" s="4">
        <v>457</v>
      </c>
      <c r="H460" s="4">
        <v>10</v>
      </c>
      <c r="I460" s="4" t="s">
        <v>934</v>
      </c>
      <c r="J460" s="4" t="str">
        <f t="shared" si="14"/>
        <v>5144050003</v>
      </c>
      <c r="K460" s="1" t="s">
        <v>12</v>
      </c>
      <c r="L460" s="4" t="s">
        <v>175</v>
      </c>
      <c r="M460" s="8" t="s">
        <v>886</v>
      </c>
      <c r="N460" s="4" t="str">
        <f t="shared" si="15"/>
        <v>('1456','RPT_009', 'LabaTrialBalance3rdSegment', '5144050003 - Beban Pokok Pendapatan - Sewa Peralatan Event', 'Beban Pokok Pendapatan', 'Pemilik dan Operator', '457', '10', 'AND ma.main_account_id IN (5144050003)', 'F', 'Operator Atraksi - Event Organiser', 0, 0),</v>
      </c>
    </row>
    <row r="461" spans="1:14" ht="31.2" x14ac:dyDescent="0.3">
      <c r="A461" s="4">
        <v>1457</v>
      </c>
      <c r="B461" s="4" t="s">
        <v>177</v>
      </c>
      <c r="C461" s="4" t="s">
        <v>178</v>
      </c>
      <c r="D461" s="6" t="s">
        <v>561</v>
      </c>
      <c r="E461" s="4" t="s">
        <v>40</v>
      </c>
      <c r="F461" s="9" t="s">
        <v>26</v>
      </c>
      <c r="G461" s="4">
        <v>458</v>
      </c>
      <c r="H461" s="4">
        <v>11</v>
      </c>
      <c r="I461" s="4" t="s">
        <v>934</v>
      </c>
      <c r="J461" s="4" t="str">
        <f t="shared" si="14"/>
        <v>5144160000</v>
      </c>
      <c r="K461" s="1" t="s">
        <v>12</v>
      </c>
      <c r="L461" s="4" t="s">
        <v>175</v>
      </c>
      <c r="M461" s="8" t="s">
        <v>886</v>
      </c>
      <c r="N461" s="4" t="str">
        <f t="shared" si="15"/>
        <v>('1457','RPT_009', 'LabaTrialBalance3rdSegment', '5144160000 -  Beban Visa Handling', 'Beban Pokok Pendapatan', 'Pemilik dan Operator', '458', '11', 'AND ma.main_account_id IN (5144160000)', 'F', 'Operator Atraksi - Event Organiser', 0, 0),</v>
      </c>
    </row>
    <row r="462" spans="1:14" ht="31.2" x14ac:dyDescent="0.3">
      <c r="A462" s="4">
        <v>1458</v>
      </c>
      <c r="B462" s="4" t="s">
        <v>177</v>
      </c>
      <c r="C462" s="4" t="s">
        <v>178</v>
      </c>
      <c r="D462" s="7" t="s">
        <v>562</v>
      </c>
      <c r="E462" s="4" t="s">
        <v>40</v>
      </c>
      <c r="F462" s="9" t="s">
        <v>26</v>
      </c>
      <c r="G462" s="4">
        <v>459</v>
      </c>
      <c r="H462" s="4">
        <v>12</v>
      </c>
      <c r="I462" s="4" t="s">
        <v>934</v>
      </c>
      <c r="J462" s="4" t="str">
        <f t="shared" si="14"/>
        <v>5144160001</v>
      </c>
      <c r="K462" s="1" t="s">
        <v>12</v>
      </c>
      <c r="L462" s="4" t="s">
        <v>175</v>
      </c>
      <c r="M462" s="8" t="s">
        <v>886</v>
      </c>
      <c r="N462" s="4" t="str">
        <f t="shared" si="15"/>
        <v>('1458','RPT_009', 'LabaTrialBalance3rdSegment', '5144160001 - Beban Pokok Pendapatan - Visa Handling - Race', 'Beban Pokok Pendapatan', 'Pemilik dan Operator', '459', '12', 'AND ma.main_account_id IN (5144160001)', 'F', 'Operator Atraksi - Event Organiser', 0, 0),</v>
      </c>
    </row>
    <row r="463" spans="1:14" ht="31.2" x14ac:dyDescent="0.3">
      <c r="A463" s="4">
        <v>1459</v>
      </c>
      <c r="B463" s="4" t="s">
        <v>177</v>
      </c>
      <c r="C463" s="4" t="s">
        <v>178</v>
      </c>
      <c r="D463" s="6" t="s">
        <v>563</v>
      </c>
      <c r="E463" s="4" t="s">
        <v>40</v>
      </c>
      <c r="F463" s="9" t="s">
        <v>26</v>
      </c>
      <c r="G463" s="4">
        <v>460</v>
      </c>
      <c r="H463" s="4">
        <v>13</v>
      </c>
      <c r="I463" s="4" t="s">
        <v>934</v>
      </c>
      <c r="J463" s="4" t="str">
        <f t="shared" si="14"/>
        <v>5144700000</v>
      </c>
      <c r="K463" s="1" t="s">
        <v>12</v>
      </c>
      <c r="L463" s="4" t="s">
        <v>175</v>
      </c>
      <c r="M463" s="8" t="s">
        <v>886</v>
      </c>
      <c r="N463" s="4" t="str">
        <f t="shared" si="15"/>
        <v>('1459','RPT_009', 'LabaTrialBalance3rdSegment', '5144700000 -  Beban Ticket Revenue', 'Beban Pokok Pendapatan', 'Pemilik dan Operator', '460', '13', 'AND ma.main_account_id IN (5144700000)', 'F', 'Operator Atraksi - Event Organiser', 0, 0),</v>
      </c>
    </row>
    <row r="464" spans="1:14" ht="31.2" x14ac:dyDescent="0.3">
      <c r="A464" s="4">
        <v>1460</v>
      </c>
      <c r="B464" s="4" t="s">
        <v>177</v>
      </c>
      <c r="C464" s="4" t="s">
        <v>178</v>
      </c>
      <c r="D464" s="7" t="s">
        <v>564</v>
      </c>
      <c r="E464" s="4" t="s">
        <v>40</v>
      </c>
      <c r="F464" s="9" t="s">
        <v>26</v>
      </c>
      <c r="G464" s="4">
        <v>461</v>
      </c>
      <c r="H464" s="4">
        <v>14</v>
      </c>
      <c r="I464" s="4" t="s">
        <v>934</v>
      </c>
      <c r="J464" s="4" t="str">
        <f t="shared" si="14"/>
        <v>5144700001</v>
      </c>
      <c r="K464" s="1" t="s">
        <v>12</v>
      </c>
      <c r="L464" s="4" t="s">
        <v>175</v>
      </c>
      <c r="M464" s="8" t="s">
        <v>886</v>
      </c>
      <c r="N464" s="4" t="str">
        <f t="shared" si="15"/>
        <v>('1460','RPT_009', 'LabaTrialBalance3rdSegment', '5144700001 - Beban Pokok Pendapatan - Tiket Event - Race', 'Beban Pokok Pendapatan', 'Pemilik dan Operator', '461', '14', 'AND ma.main_account_id IN (5144700001)', 'F', 'Operator Atraksi - Event Organiser', 0, 0),</v>
      </c>
    </row>
    <row r="465" spans="1:14" ht="31.2" x14ac:dyDescent="0.3">
      <c r="A465" s="4">
        <v>1461</v>
      </c>
      <c r="B465" s="4" t="s">
        <v>177</v>
      </c>
      <c r="C465" s="4" t="s">
        <v>178</v>
      </c>
      <c r="D465" s="6" t="s">
        <v>565</v>
      </c>
      <c r="E465" s="4" t="s">
        <v>40</v>
      </c>
      <c r="F465" s="9" t="s">
        <v>26</v>
      </c>
      <c r="G465" s="4">
        <v>462</v>
      </c>
      <c r="H465" s="4">
        <v>15</v>
      </c>
      <c r="I465" s="4" t="s">
        <v>934</v>
      </c>
      <c r="J465" s="4" t="str">
        <f t="shared" si="14"/>
        <v>5144710000</v>
      </c>
      <c r="K465" s="1" t="s">
        <v>12</v>
      </c>
      <c r="L465" s="4" t="s">
        <v>175</v>
      </c>
      <c r="M465" s="8" t="s">
        <v>886</v>
      </c>
      <c r="N465" s="4" t="str">
        <f t="shared" si="15"/>
        <v>('1461','RPT_009', 'LabaTrialBalance3rdSegment', '5144710000 -  Beban Sponsorship Revenue', 'Beban Pokok Pendapatan', 'Pemilik dan Operator', '462', '15', 'AND ma.main_account_id IN (5144710000)', 'F', 'Operator Atraksi - Event Organiser', 0, 0),</v>
      </c>
    </row>
    <row r="466" spans="1:14" ht="31.2" x14ac:dyDescent="0.3">
      <c r="A466" s="4">
        <v>1462</v>
      </c>
      <c r="B466" s="4" t="s">
        <v>177</v>
      </c>
      <c r="C466" s="4" t="s">
        <v>178</v>
      </c>
      <c r="D466" s="7" t="s">
        <v>566</v>
      </c>
      <c r="E466" s="4" t="s">
        <v>40</v>
      </c>
      <c r="F466" s="9" t="s">
        <v>26</v>
      </c>
      <c r="G466" s="4">
        <v>463</v>
      </c>
      <c r="H466" s="4">
        <v>16</v>
      </c>
      <c r="I466" s="4" t="s">
        <v>934</v>
      </c>
      <c r="J466" s="4" t="str">
        <f t="shared" si="14"/>
        <v>5144710001</v>
      </c>
      <c r="K466" s="1" t="s">
        <v>12</v>
      </c>
      <c r="L466" s="4" t="s">
        <v>175</v>
      </c>
      <c r="M466" s="8" t="s">
        <v>886</v>
      </c>
      <c r="N466" s="4" t="str">
        <f t="shared" si="15"/>
        <v>('1462','RPT_009', 'LabaTrialBalance3rdSegment', '5144710001 - Beban Pokok Pendapatan - Sponsorship', 'Beban Pokok Pendapatan', 'Pemilik dan Operator', '463', '16', 'AND ma.main_account_id IN (5144710001)', 'F', 'Operator Atraksi - Event Organiser', 0, 0),</v>
      </c>
    </row>
    <row r="467" spans="1:14" ht="31.2" x14ac:dyDescent="0.3">
      <c r="A467" s="4">
        <v>1463</v>
      </c>
      <c r="B467" s="4" t="s">
        <v>177</v>
      </c>
      <c r="C467" s="4" t="s">
        <v>178</v>
      </c>
      <c r="D467" s="6" t="s">
        <v>567</v>
      </c>
      <c r="E467" s="4" t="s">
        <v>40</v>
      </c>
      <c r="F467" s="9" t="s">
        <v>26</v>
      </c>
      <c r="G467" s="4">
        <v>464</v>
      </c>
      <c r="H467" s="4">
        <v>17</v>
      </c>
      <c r="I467" s="4" t="s">
        <v>934</v>
      </c>
      <c r="J467" s="4" t="str">
        <f t="shared" si="14"/>
        <v>5144720000</v>
      </c>
      <c r="K467" s="1" t="s">
        <v>12</v>
      </c>
      <c r="L467" s="4" t="s">
        <v>175</v>
      </c>
      <c r="M467" s="8" t="s">
        <v>886</v>
      </c>
      <c r="N467" s="4" t="str">
        <f t="shared" si="15"/>
        <v>('1463','RPT_009', 'LabaTrialBalance3rdSegment', '5144720000 -  Beban Event', 'Beban Pokok Pendapatan', 'Pemilik dan Operator', '464', '17', 'AND ma.main_account_id IN (5144720000)', 'F', 'Operator Atraksi - Event Organiser', 0, 0),</v>
      </c>
    </row>
    <row r="468" spans="1:14" ht="31.2" x14ac:dyDescent="0.3">
      <c r="A468" s="4">
        <v>1464</v>
      </c>
      <c r="B468" s="4" t="s">
        <v>177</v>
      </c>
      <c r="C468" s="4" t="s">
        <v>178</v>
      </c>
      <c r="D468" s="7" t="s">
        <v>568</v>
      </c>
      <c r="E468" s="4" t="s">
        <v>40</v>
      </c>
      <c r="F468" s="9" t="s">
        <v>26</v>
      </c>
      <c r="G468" s="4">
        <v>465</v>
      </c>
      <c r="H468" s="4">
        <v>18</v>
      </c>
      <c r="I468" s="4" t="s">
        <v>934</v>
      </c>
      <c r="J468" s="4" t="str">
        <f t="shared" si="14"/>
        <v>5144720001</v>
      </c>
      <c r="K468" s="1" t="s">
        <v>12</v>
      </c>
      <c r="L468" s="4" t="s">
        <v>175</v>
      </c>
      <c r="M468" s="8" t="s">
        <v>886</v>
      </c>
      <c r="N468" s="4" t="str">
        <f t="shared" si="15"/>
        <v>('1464','RPT_009', 'LabaTrialBalance3rdSegment', '5144720001 - Beban Pokok Pendapatan - Event - Non-Race', 'Beban Pokok Pendapatan', 'Pemilik dan Operator', '465', '18', 'AND ma.main_account_id IN (5144720001)', 'F', 'Operator Atraksi - Event Organiser', 0, 0),</v>
      </c>
    </row>
    <row r="469" spans="1:14" ht="31.2" x14ac:dyDescent="0.3">
      <c r="A469" s="4">
        <v>1465</v>
      </c>
      <c r="B469" s="4" t="s">
        <v>177</v>
      </c>
      <c r="C469" s="4" t="s">
        <v>178</v>
      </c>
      <c r="D469" s="7" t="s">
        <v>569</v>
      </c>
      <c r="E469" s="4" t="s">
        <v>40</v>
      </c>
      <c r="F469" s="9" t="s">
        <v>26</v>
      </c>
      <c r="G469" s="4">
        <v>466</v>
      </c>
      <c r="H469" s="4">
        <v>19</v>
      </c>
      <c r="I469" s="4" t="s">
        <v>934</v>
      </c>
      <c r="J469" s="4" t="str">
        <f t="shared" si="14"/>
        <v>5144720002</v>
      </c>
      <c r="K469" s="1" t="s">
        <v>12</v>
      </c>
      <c r="L469" s="4" t="s">
        <v>175</v>
      </c>
      <c r="M469" s="8" t="s">
        <v>886</v>
      </c>
      <c r="N469" s="4" t="str">
        <f t="shared" si="15"/>
        <v>('1465','RPT_009', 'LabaTrialBalance3rdSegment', '5144720002 - Beban Pokok Pendapatan - Event - Race', 'Beban Pokok Pendapatan', 'Pemilik dan Operator', '466', '19', 'AND ma.main_account_id IN (5144720002)', 'F', 'Operator Atraksi - Event Organiser', 0, 0),</v>
      </c>
    </row>
    <row r="470" spans="1:14" ht="31.2" x14ac:dyDescent="0.3">
      <c r="A470" s="4">
        <v>1466</v>
      </c>
      <c r="B470" s="4" t="s">
        <v>177</v>
      </c>
      <c r="C470" s="4" t="s">
        <v>178</v>
      </c>
      <c r="D470" s="6" t="s">
        <v>570</v>
      </c>
      <c r="E470" s="4" t="s">
        <v>40</v>
      </c>
      <c r="F470" s="9" t="s">
        <v>26</v>
      </c>
      <c r="G470" s="4">
        <v>467</v>
      </c>
      <c r="H470" s="4">
        <v>20</v>
      </c>
      <c r="I470" s="4" t="s">
        <v>934</v>
      </c>
      <c r="J470" s="4" t="str">
        <f t="shared" si="14"/>
        <v>5144750000</v>
      </c>
      <c r="K470" s="1" t="s">
        <v>12</v>
      </c>
      <c r="L470" s="4" t="s">
        <v>175</v>
      </c>
      <c r="M470" s="8" t="s">
        <v>886</v>
      </c>
      <c r="N470" s="4" t="str">
        <f t="shared" si="15"/>
        <v>('1466','RPT_009', 'LabaTrialBalance3rdSegment', '5144750000 -  Beban Technical Fee', 'Beban Pokok Pendapatan', 'Pemilik dan Operator', '467', '20', 'AND ma.main_account_id IN (5144750000)', 'F', 'Operator Atraksi - Event Organiser', 0, 0),</v>
      </c>
    </row>
    <row r="471" spans="1:14" ht="31.2" x14ac:dyDescent="0.3">
      <c r="A471" s="4">
        <v>1467</v>
      </c>
      <c r="B471" s="4" t="s">
        <v>177</v>
      </c>
      <c r="C471" s="4" t="s">
        <v>178</v>
      </c>
      <c r="D471" s="7" t="s">
        <v>571</v>
      </c>
      <c r="E471" s="4" t="s">
        <v>40</v>
      </c>
      <c r="F471" s="9" t="s">
        <v>26</v>
      </c>
      <c r="G471" s="4">
        <v>468</v>
      </c>
      <c r="H471" s="4">
        <v>21</v>
      </c>
      <c r="I471" s="4" t="s">
        <v>934</v>
      </c>
      <c r="J471" s="4" t="str">
        <f t="shared" si="14"/>
        <v>5144750001</v>
      </c>
      <c r="K471" s="1" t="s">
        <v>12</v>
      </c>
      <c r="L471" s="4" t="s">
        <v>175</v>
      </c>
      <c r="M471" s="8" t="s">
        <v>886</v>
      </c>
      <c r="N471" s="4" t="str">
        <f t="shared" si="15"/>
        <v>('1467','RPT_009', 'LabaTrialBalance3rdSegment', '5144750001 - Beban Pokok Pendapatan - Technical Fee - Race', 'Beban Pokok Pendapatan', 'Pemilik dan Operator', '468', '21', 'AND ma.main_account_id IN (5144750001)', 'F', 'Operator Atraksi - Event Organiser', 0, 0),</v>
      </c>
    </row>
    <row r="472" spans="1:14" ht="31.2" x14ac:dyDescent="0.3">
      <c r="A472" s="4">
        <v>1468</v>
      </c>
      <c r="B472" s="4" t="s">
        <v>177</v>
      </c>
      <c r="C472" s="4" t="s">
        <v>178</v>
      </c>
      <c r="D472" s="5" t="s">
        <v>167</v>
      </c>
      <c r="E472" s="4" t="s">
        <v>40</v>
      </c>
      <c r="F472" s="9" t="s">
        <v>26</v>
      </c>
      <c r="G472" s="4">
        <v>469</v>
      </c>
      <c r="H472" s="4">
        <v>22</v>
      </c>
      <c r="I472" s="4" t="s">
        <v>934</v>
      </c>
      <c r="J472" s="4" t="str">
        <f t="shared" si="14"/>
        <v>5162000000</v>
      </c>
      <c r="K472" s="1" t="s">
        <v>12</v>
      </c>
      <c r="L472" s="4" t="s">
        <v>175</v>
      </c>
      <c r="M472" s="8" t="s">
        <v>889</v>
      </c>
      <c r="N472" s="4" t="str">
        <f t="shared" si="15"/>
        <v>('1468','RPT_009', 'LabaTrialBalance3rdSegment', '5162000000 -  Pengembang Kawasan Wisata - Utility Charge', 'Beban Pokok Pendapatan', 'Pemilik dan Operator', '469', '22', 'AND ma.main_account_id IN (5162000000)', 'F', 'Pengembang Kawasan Wisata - Utility Charge', 0, 0),</v>
      </c>
    </row>
    <row r="473" spans="1:14" ht="31.2" x14ac:dyDescent="0.3">
      <c r="A473" s="4">
        <v>1469</v>
      </c>
      <c r="B473" s="4" t="s">
        <v>177</v>
      </c>
      <c r="C473" s="4" t="s">
        <v>178</v>
      </c>
      <c r="D473" s="6" t="s">
        <v>572</v>
      </c>
      <c r="E473" s="4" t="s">
        <v>40</v>
      </c>
      <c r="F473" s="9" t="s">
        <v>26</v>
      </c>
      <c r="G473" s="4">
        <v>470</v>
      </c>
      <c r="H473" s="4">
        <v>23</v>
      </c>
      <c r="I473" s="4" t="s">
        <v>934</v>
      </c>
      <c r="J473" s="4" t="str">
        <f t="shared" si="14"/>
        <v>5162700000</v>
      </c>
      <c r="K473" s="1" t="s">
        <v>12</v>
      </c>
      <c r="L473" s="4" t="s">
        <v>175</v>
      </c>
      <c r="M473" s="8" t="s">
        <v>889</v>
      </c>
      <c r="N473" s="4" t="str">
        <f t="shared" si="15"/>
        <v>('1469','RPT_009', 'LabaTrialBalance3rdSegment', '5162700000 -  Beban Air', 'Beban Pokok Pendapatan', 'Pemilik dan Operator', '470', '23', 'AND ma.main_account_id IN (5162700000)', 'F', 'Pengembang Kawasan Wisata - Utility Charge', 0, 0),</v>
      </c>
    </row>
    <row r="474" spans="1:14" ht="31.2" x14ac:dyDescent="0.3">
      <c r="A474" s="4">
        <v>1470</v>
      </c>
      <c r="B474" s="4" t="s">
        <v>177</v>
      </c>
      <c r="C474" s="4" t="s">
        <v>178</v>
      </c>
      <c r="D474" s="7" t="s">
        <v>573</v>
      </c>
      <c r="E474" s="4" t="s">
        <v>40</v>
      </c>
      <c r="F474" s="9" t="s">
        <v>26</v>
      </c>
      <c r="G474" s="4">
        <v>471</v>
      </c>
      <c r="H474" s="4">
        <v>24</v>
      </c>
      <c r="I474" s="4" t="s">
        <v>934</v>
      </c>
      <c r="J474" s="4" t="str">
        <f t="shared" si="14"/>
        <v>5162700001</v>
      </c>
      <c r="K474" s="1" t="s">
        <v>12</v>
      </c>
      <c r="L474" s="4" t="s">
        <v>175</v>
      </c>
      <c r="M474" s="8" t="s">
        <v>889</v>
      </c>
      <c r="N474" s="4" t="str">
        <f t="shared" si="15"/>
        <v>('1470','RPT_009', 'LabaTrialBalance3rdSegment', '5162700001 - Beban Pokok Pendapatan - Air Bersih', 'Beban Pokok Pendapatan', 'Pemilik dan Operator', '471', '24', 'AND ma.main_account_id IN (5162700001)', 'F', 'Pengembang Kawasan Wisata - Utility Charge', 0, 0),</v>
      </c>
    </row>
    <row r="475" spans="1:14" ht="31.2" x14ac:dyDescent="0.3">
      <c r="A475" s="4">
        <v>1471</v>
      </c>
      <c r="B475" s="4" t="s">
        <v>177</v>
      </c>
      <c r="C475" s="4" t="s">
        <v>178</v>
      </c>
      <c r="D475" s="6" t="s">
        <v>574</v>
      </c>
      <c r="E475" s="4" t="s">
        <v>40</v>
      </c>
      <c r="F475" s="9" t="s">
        <v>26</v>
      </c>
      <c r="G475" s="4">
        <v>472</v>
      </c>
      <c r="H475" s="4">
        <v>25</v>
      </c>
      <c r="I475" s="4" t="s">
        <v>934</v>
      </c>
      <c r="J475" s="4" t="str">
        <f t="shared" si="14"/>
        <v>5162760000</v>
      </c>
      <c r="K475" s="1" t="s">
        <v>12</v>
      </c>
      <c r="L475" s="4" t="s">
        <v>175</v>
      </c>
      <c r="M475" s="8" t="s">
        <v>889</v>
      </c>
      <c r="N475" s="4" t="str">
        <f t="shared" si="15"/>
        <v>('1471','RPT_009', 'LabaTrialBalance3rdSegment', '5162760000 -  Beban Maintenance &amp; Service Fee', 'Beban Pokok Pendapatan', 'Pemilik dan Operator', '472', '25', 'AND ma.main_account_id IN (5162760000)', 'F', 'Pengembang Kawasan Wisata - Utility Charge', 0, 0),</v>
      </c>
    </row>
    <row r="476" spans="1:14" ht="31.2" x14ac:dyDescent="0.3">
      <c r="A476" s="4">
        <v>1472</v>
      </c>
      <c r="B476" s="4" t="s">
        <v>177</v>
      </c>
      <c r="C476" s="4" t="s">
        <v>178</v>
      </c>
      <c r="D476" s="7" t="s">
        <v>575</v>
      </c>
      <c r="E476" s="4" t="s">
        <v>40</v>
      </c>
      <c r="F476" s="9" t="s">
        <v>26</v>
      </c>
      <c r="G476" s="4">
        <v>473</v>
      </c>
      <c r="H476" s="4">
        <v>26</v>
      </c>
      <c r="I476" s="4" t="s">
        <v>934</v>
      </c>
      <c r="J476" s="4" t="str">
        <f t="shared" si="14"/>
        <v>5162760002</v>
      </c>
      <c r="K476" s="1" t="s">
        <v>12</v>
      </c>
      <c r="L476" s="4" t="s">
        <v>175</v>
      </c>
      <c r="M476" s="8" t="s">
        <v>889</v>
      </c>
      <c r="N476" s="4" t="str">
        <f t="shared" si="15"/>
        <v>('1472','RPT_009', 'LabaTrialBalance3rdSegment', '5162760002 - Beban Pokok Pendapatan - Maintenance &amp; Service Fee', 'Beban Pokok Pendapatan', 'Pemilik dan Operator', '473', '26', 'AND ma.main_account_id IN (5162760002)', 'F', 'Pengembang Kawasan Wisata - Utility Charge', 0, 0),</v>
      </c>
    </row>
    <row r="477" spans="1:14" ht="31.2" x14ac:dyDescent="0.3">
      <c r="A477" s="4">
        <v>1473</v>
      </c>
      <c r="B477" s="4" t="s">
        <v>177</v>
      </c>
      <c r="C477" s="4" t="s">
        <v>178</v>
      </c>
      <c r="D477" s="6" t="s">
        <v>576</v>
      </c>
      <c r="E477" s="4" t="s">
        <v>40</v>
      </c>
      <c r="F477" s="9" t="s">
        <v>26</v>
      </c>
      <c r="G477" s="4">
        <v>474</v>
      </c>
      <c r="H477" s="4">
        <v>27</v>
      </c>
      <c r="I477" s="4" t="s">
        <v>934</v>
      </c>
      <c r="J477" s="4" t="str">
        <f t="shared" si="14"/>
        <v>5162990000</v>
      </c>
      <c r="K477" s="1" t="s">
        <v>12</v>
      </c>
      <c r="L477" s="4" t="s">
        <v>175</v>
      </c>
      <c r="M477" s="8" t="s">
        <v>889</v>
      </c>
      <c r="N477" s="4" t="str">
        <f t="shared" si="15"/>
        <v>('1473','RPT_009', 'LabaTrialBalance3rdSegment', '5162990000 -  Beban Lainnya', 'Beban Pokok Pendapatan', 'Pemilik dan Operator', '474', '27', 'AND ma.main_account_id IN (5162990000)', 'F', 'Pengembang Kawasan Wisata - Utility Charge', 0, 0),</v>
      </c>
    </row>
    <row r="478" spans="1:14" ht="31.2" x14ac:dyDescent="0.3">
      <c r="A478" s="4">
        <v>1474</v>
      </c>
      <c r="B478" s="4" t="s">
        <v>177</v>
      </c>
      <c r="C478" s="4" t="s">
        <v>178</v>
      </c>
      <c r="D478" s="7" t="s">
        <v>577</v>
      </c>
      <c r="E478" s="4" t="s">
        <v>40</v>
      </c>
      <c r="F478" s="9" t="s">
        <v>26</v>
      </c>
      <c r="G478" s="4">
        <v>475</v>
      </c>
      <c r="H478" s="4">
        <v>28</v>
      </c>
      <c r="I478" s="4" t="s">
        <v>934</v>
      </c>
      <c r="J478" s="4" t="str">
        <f t="shared" si="14"/>
        <v>5162990001</v>
      </c>
      <c r="K478" s="1" t="s">
        <v>12</v>
      </c>
      <c r="L478" s="4" t="s">
        <v>175</v>
      </c>
      <c r="M478" s="8" t="s">
        <v>889</v>
      </c>
      <c r="N478" s="4" t="str">
        <f t="shared" si="15"/>
        <v>('1474','RPT_009', 'LabaTrialBalance3rdSegment', '5162990001 - Beban Lainnya', 'Beban Pokok Pendapatan', 'Pemilik dan Operator', '475', '28', 'AND ma.main_account_id IN (5162990001)', 'F', 'Pengembang Kawasan Wisata - Utility Charge', 0, 0),</v>
      </c>
    </row>
    <row r="479" spans="1:14" ht="31.2" x14ac:dyDescent="0.3">
      <c r="A479" s="4">
        <v>1475</v>
      </c>
      <c r="B479" s="4" t="s">
        <v>177</v>
      </c>
      <c r="C479" s="4" t="s">
        <v>178</v>
      </c>
      <c r="D479" s="5" t="s">
        <v>168</v>
      </c>
      <c r="E479" s="4" t="s">
        <v>40</v>
      </c>
      <c r="F479" s="9" t="s">
        <v>26</v>
      </c>
      <c r="G479" s="4">
        <v>476</v>
      </c>
      <c r="H479" s="4">
        <v>29</v>
      </c>
      <c r="I479" s="4" t="s">
        <v>934</v>
      </c>
      <c r="J479" s="4" t="str">
        <f t="shared" si="14"/>
        <v>5163000000</v>
      </c>
      <c r="K479" s="1" t="s">
        <v>12</v>
      </c>
      <c r="L479" s="4" t="s">
        <v>175</v>
      </c>
      <c r="M479" s="8" t="s">
        <v>890</v>
      </c>
      <c r="N479" s="4" t="str">
        <f t="shared" si="15"/>
        <v>('1475','RPT_009', 'LabaTrialBalance3rdSegment', '5163000000 -  Pengembang Kawasan Wisata - Bahan Bakar', 'Beban Pokok Pendapatan', 'Pemilik dan Operator', '476', '29', 'AND ma.main_account_id IN (5163000000)', 'F', 'Pengembang Kawasan Wisata - Bahan Bakar', 0, 0),</v>
      </c>
    </row>
    <row r="480" spans="1:14" ht="31.2" x14ac:dyDescent="0.3">
      <c r="A480" s="4">
        <v>1476</v>
      </c>
      <c r="B480" s="4" t="s">
        <v>177</v>
      </c>
      <c r="C480" s="4" t="s">
        <v>178</v>
      </c>
      <c r="D480" s="6" t="s">
        <v>578</v>
      </c>
      <c r="E480" s="4" t="s">
        <v>40</v>
      </c>
      <c r="F480" s="9" t="s">
        <v>26</v>
      </c>
      <c r="G480" s="4">
        <v>477</v>
      </c>
      <c r="H480" s="4">
        <v>30</v>
      </c>
      <c r="I480" s="4" t="s">
        <v>934</v>
      </c>
      <c r="J480" s="4" t="str">
        <f t="shared" si="14"/>
        <v>5163710000</v>
      </c>
      <c r="K480" s="1" t="s">
        <v>12</v>
      </c>
      <c r="L480" s="4" t="s">
        <v>175</v>
      </c>
      <c r="M480" s="8" t="s">
        <v>890</v>
      </c>
      <c r="N480" s="4" t="str">
        <f t="shared" si="15"/>
        <v>('1476','RPT_009', 'LabaTrialBalance3rdSegment', '5163710000 -  Beban Bahan Bakar', 'Beban Pokok Pendapatan', 'Pemilik dan Operator', '477', '30', 'AND ma.main_account_id IN (5163710000)', 'F', 'Pengembang Kawasan Wisata - Bahan Bakar', 0, 0),</v>
      </c>
    </row>
    <row r="481" spans="1:14" ht="31.2" x14ac:dyDescent="0.3">
      <c r="A481" s="4">
        <v>1477</v>
      </c>
      <c r="B481" s="4" t="s">
        <v>177</v>
      </c>
      <c r="C481" s="4" t="s">
        <v>178</v>
      </c>
      <c r="D481" s="7" t="s">
        <v>579</v>
      </c>
      <c r="E481" s="4" t="s">
        <v>40</v>
      </c>
      <c r="F481" s="9" t="s">
        <v>26</v>
      </c>
      <c r="G481" s="4">
        <v>478</v>
      </c>
      <c r="H481" s="4">
        <v>31</v>
      </c>
      <c r="I481" s="4" t="s">
        <v>934</v>
      </c>
      <c r="J481" s="4" t="str">
        <f t="shared" si="14"/>
        <v>5163710001</v>
      </c>
      <c r="K481" s="1" t="s">
        <v>12</v>
      </c>
      <c r="L481" s="4" t="s">
        <v>175</v>
      </c>
      <c r="M481" s="8" t="s">
        <v>890</v>
      </c>
      <c r="N481" s="4" t="str">
        <f t="shared" si="15"/>
        <v>('1477','RPT_009', 'LabaTrialBalance3rdSegment', '5163710001 - Beban Pokok Pendapatan - SPBU', 'Beban Pokok Pendapatan', 'Pemilik dan Operator', '478', '31', 'AND ma.main_account_id IN (5163710001)', 'F', 'Pengembang Kawasan Wisata - Bahan Bakar', 0, 0),</v>
      </c>
    </row>
    <row r="482" spans="1:14" ht="31.2" x14ac:dyDescent="0.3">
      <c r="A482" s="4">
        <v>1478</v>
      </c>
      <c r="B482" s="4" t="s">
        <v>177</v>
      </c>
      <c r="C482" s="4" t="s">
        <v>178</v>
      </c>
      <c r="D482" s="5" t="s">
        <v>43</v>
      </c>
      <c r="E482" s="4" t="s">
        <v>40</v>
      </c>
      <c r="F482" s="9" t="s">
        <v>26</v>
      </c>
      <c r="G482" s="4">
        <v>479</v>
      </c>
      <c r="H482" s="4">
        <v>32</v>
      </c>
      <c r="I482" s="4" t="s">
        <v>934</v>
      </c>
      <c r="J482" s="4" t="str">
        <f t="shared" si="14"/>
        <v>5164000000</v>
      </c>
      <c r="K482" s="1" t="s">
        <v>12</v>
      </c>
      <c r="L482" s="4" t="s">
        <v>175</v>
      </c>
      <c r="M482" s="8" t="s">
        <v>891</v>
      </c>
      <c r="N482" s="4" t="str">
        <f t="shared" si="15"/>
        <v>('1478','RPT_009', 'LabaTrialBalance3rdSegment', '5164000000 -  Pengembang Kawasan Wisata - Optimalisasi Lahan', 'Beban Pokok Pendapatan', 'Pemilik dan Operator', '479', '32', 'AND ma.main_account_id IN (5164000000)', 'F', 'Pengembang Kawasan Wisata - Optimalisasi Lahan', 0, 0),</v>
      </c>
    </row>
    <row r="483" spans="1:14" ht="31.2" x14ac:dyDescent="0.3">
      <c r="A483" s="4">
        <v>1479</v>
      </c>
      <c r="B483" s="4" t="s">
        <v>177</v>
      </c>
      <c r="C483" s="4" t="s">
        <v>178</v>
      </c>
      <c r="D483" s="6" t="s">
        <v>580</v>
      </c>
      <c r="E483" s="4" t="s">
        <v>40</v>
      </c>
      <c r="F483" s="9" t="s">
        <v>26</v>
      </c>
      <c r="G483" s="4">
        <v>480</v>
      </c>
      <c r="H483" s="4">
        <v>33</v>
      </c>
      <c r="I483" s="4" t="s">
        <v>934</v>
      </c>
      <c r="J483" s="4" t="str">
        <f t="shared" si="14"/>
        <v>5164720000</v>
      </c>
      <c r="K483" s="1" t="s">
        <v>12</v>
      </c>
      <c r="L483" s="4" t="s">
        <v>175</v>
      </c>
      <c r="M483" s="8" t="s">
        <v>891</v>
      </c>
      <c r="N483" s="4" t="str">
        <f t="shared" si="15"/>
        <v>('1479','RPT_009', 'LabaTrialBalance3rdSegment', '5164720000 -  Beban Komersialisasi Lahan', 'Beban Pokok Pendapatan', 'Pemilik dan Operator', '480', '33', 'AND ma.main_account_id IN (5164720000)', 'F', 'Pengembang Kawasan Wisata - Optimalisasi Lahan', 0, 0),</v>
      </c>
    </row>
    <row r="484" spans="1:14" ht="31.2" x14ac:dyDescent="0.3">
      <c r="A484" s="4">
        <v>1480</v>
      </c>
      <c r="B484" s="4" t="s">
        <v>177</v>
      </c>
      <c r="C484" s="4" t="s">
        <v>178</v>
      </c>
      <c r="D484" s="7" t="s">
        <v>581</v>
      </c>
      <c r="E484" s="4" t="s">
        <v>40</v>
      </c>
      <c r="F484" s="9" t="s">
        <v>26</v>
      </c>
      <c r="G484" s="4">
        <v>481</v>
      </c>
      <c r="H484" s="4">
        <v>34</v>
      </c>
      <c r="I484" s="4" t="s">
        <v>934</v>
      </c>
      <c r="J484" s="4" t="str">
        <f t="shared" si="14"/>
        <v>5164720001</v>
      </c>
      <c r="K484" s="1" t="s">
        <v>12</v>
      </c>
      <c r="L484" s="4" t="s">
        <v>175</v>
      </c>
      <c r="M484" s="8" t="s">
        <v>891</v>
      </c>
      <c r="N484" s="4" t="str">
        <f t="shared" si="15"/>
        <v>('1480','RPT_009', 'LabaTrialBalance3rdSegment', '5164720001 - Beban Pokok Pendapatan - Optimalisasi Aset', 'Beban Pokok Pendapatan', 'Pemilik dan Operator', '481', '34', 'AND ma.main_account_id IN (5164720001)', 'F', 'Pengembang Kawasan Wisata - Optimalisasi Lahan', 0, 0),</v>
      </c>
    </row>
    <row r="485" spans="1:14" ht="31.2" x14ac:dyDescent="0.3">
      <c r="A485" s="4">
        <v>1481</v>
      </c>
      <c r="B485" s="4" t="s">
        <v>177</v>
      </c>
      <c r="C485" s="4" t="s">
        <v>178</v>
      </c>
      <c r="D485" s="5" t="s">
        <v>44</v>
      </c>
      <c r="E485" s="4" t="s">
        <v>40</v>
      </c>
      <c r="F485" s="9" t="s">
        <v>26</v>
      </c>
      <c r="G485" s="4">
        <v>482</v>
      </c>
      <c r="H485" s="4">
        <v>35</v>
      </c>
      <c r="I485" s="4" t="s">
        <v>934</v>
      </c>
      <c r="J485" s="4" t="str">
        <f t="shared" si="14"/>
        <v>5165000000</v>
      </c>
      <c r="K485" s="1" t="s">
        <v>12</v>
      </c>
      <c r="L485" s="4" t="s">
        <v>175</v>
      </c>
      <c r="M485" s="8" t="s">
        <v>892</v>
      </c>
      <c r="N485" s="4" t="str">
        <f t="shared" si="15"/>
        <v>('1481','RPT_009', 'LabaTrialBalance3rdSegment', '5165000000 -  Pengembang Kawasan Wisata - Real Estate Sale', 'Beban Pokok Pendapatan', 'Pemilik dan Operator', '482', '35', 'AND ma.main_account_id IN (5165000000)', 'F', 'Pengembang Kawasan Wisata - Real Estate Sale', 0, 0),</v>
      </c>
    </row>
    <row r="486" spans="1:14" ht="31.2" x14ac:dyDescent="0.3">
      <c r="A486" s="4">
        <v>1482</v>
      </c>
      <c r="B486" s="4" t="s">
        <v>177</v>
      </c>
      <c r="C486" s="4" t="s">
        <v>178</v>
      </c>
      <c r="D486" s="6" t="s">
        <v>582</v>
      </c>
      <c r="E486" s="4" t="s">
        <v>40</v>
      </c>
      <c r="F486" s="9" t="s">
        <v>26</v>
      </c>
      <c r="G486" s="4">
        <v>483</v>
      </c>
      <c r="H486" s="4">
        <v>36</v>
      </c>
      <c r="I486" s="4" t="s">
        <v>934</v>
      </c>
      <c r="J486" s="4" t="str">
        <f t="shared" si="14"/>
        <v>5165730000</v>
      </c>
      <c r="K486" s="1" t="s">
        <v>12</v>
      </c>
      <c r="L486" s="4" t="s">
        <v>175</v>
      </c>
      <c r="M486" s="8" t="s">
        <v>892</v>
      </c>
      <c r="N486" s="4" t="str">
        <f t="shared" si="15"/>
        <v>('1482','RPT_009', 'LabaTrialBalance3rdSegment', '5165730000 -  Beban Penjualan Lahan', 'Beban Pokok Pendapatan', 'Pemilik dan Operator', '483', '36', 'AND ma.main_account_id IN (5165730000)', 'F', 'Pengembang Kawasan Wisata - Real Estate Sale', 0, 0),</v>
      </c>
    </row>
    <row r="487" spans="1:14" ht="31.2" x14ac:dyDescent="0.3">
      <c r="A487" s="4">
        <v>1483</v>
      </c>
      <c r="B487" s="4" t="s">
        <v>177</v>
      </c>
      <c r="C487" s="4" t="s">
        <v>178</v>
      </c>
      <c r="D487" s="7" t="s">
        <v>583</v>
      </c>
      <c r="E487" s="4" t="s">
        <v>40</v>
      </c>
      <c r="F487" s="9" t="s">
        <v>26</v>
      </c>
      <c r="G487" s="4">
        <v>484</v>
      </c>
      <c r="H487" s="4">
        <v>37</v>
      </c>
      <c r="I487" s="4" t="s">
        <v>934</v>
      </c>
      <c r="J487" s="4" t="str">
        <f t="shared" si="14"/>
        <v>5165730001</v>
      </c>
      <c r="K487" s="1" t="s">
        <v>12</v>
      </c>
      <c r="L487" s="4" t="s">
        <v>175</v>
      </c>
      <c r="M487" s="8" t="s">
        <v>892</v>
      </c>
      <c r="N487" s="4" t="str">
        <f t="shared" si="15"/>
        <v>('1483','RPT_009', 'LabaTrialBalance3rdSegment', '5165730001 - Beban Pokok Pendapatan - Penjualan Lahan', 'Beban Pokok Pendapatan', 'Pemilik dan Operator', '484', '37', 'AND ma.main_account_id IN (5165730001)', 'F', 'Pengembang Kawasan Wisata - Real Estate Sale', 0, 0),</v>
      </c>
    </row>
    <row r="488" spans="1:14" ht="62.4" x14ac:dyDescent="0.3">
      <c r="A488" s="4">
        <v>1484</v>
      </c>
      <c r="B488" s="4" t="s">
        <v>177</v>
      </c>
      <c r="C488" s="4" t="s">
        <v>178</v>
      </c>
      <c r="D488" s="5" t="s">
        <v>169</v>
      </c>
      <c r="E488" s="4" t="s">
        <v>40</v>
      </c>
      <c r="F488" s="9" t="s">
        <v>26</v>
      </c>
      <c r="G488" s="4">
        <v>485</v>
      </c>
      <c r="H488" s="4">
        <v>38</v>
      </c>
      <c r="I488" s="4" t="s">
        <v>934</v>
      </c>
      <c r="J488" s="4" t="str">
        <f t="shared" si="14"/>
        <v>5167000000</v>
      </c>
      <c r="K488" s="1" t="s">
        <v>12</v>
      </c>
      <c r="L488" s="4" t="s">
        <v>175</v>
      </c>
      <c r="M488" s="8" t="s">
        <v>899</v>
      </c>
      <c r="N488" s="4" t="str">
        <f t="shared" si="15"/>
        <v>('1484','RPT_009', 'LabaTrialBalance3rdSegment', '5167000000 -  Pengembang Kawasan Wisata - Beban Pokok Pendapatan Management Fee', 'Beban Pokok Pendapatan', 'Pemilik dan Operator', '485', '38', 'AND ma.main_account_id IN (5167000000)', 'F', 'Pengembang Kawasan Wisata - Beban Pokok Pendapatan Management Fee', 0, 0),</v>
      </c>
    </row>
    <row r="489" spans="1:14" ht="62.4" x14ac:dyDescent="0.3">
      <c r="A489" s="4">
        <v>1485</v>
      </c>
      <c r="B489" s="4" t="s">
        <v>177</v>
      </c>
      <c r="C489" s="4" t="s">
        <v>178</v>
      </c>
      <c r="D489" s="6" t="s">
        <v>584</v>
      </c>
      <c r="E489" s="4" t="s">
        <v>40</v>
      </c>
      <c r="F489" s="9" t="s">
        <v>26</v>
      </c>
      <c r="G489" s="4">
        <v>486</v>
      </c>
      <c r="H489" s="4">
        <v>39</v>
      </c>
      <c r="I489" s="4" t="s">
        <v>934</v>
      </c>
      <c r="J489" s="4" t="str">
        <f t="shared" si="14"/>
        <v>5167780000</v>
      </c>
      <c r="K489" s="1" t="s">
        <v>12</v>
      </c>
      <c r="L489" s="4" t="s">
        <v>175</v>
      </c>
      <c r="M489" s="8" t="s">
        <v>899</v>
      </c>
      <c r="N489" s="4" t="str">
        <f t="shared" si="15"/>
        <v>('1485','RPT_009', 'LabaTrialBalance3rdSegment', '5167780000 -  Beban Management Fee', 'Beban Pokok Pendapatan', 'Pemilik dan Operator', '486', '39', 'AND ma.main_account_id IN (5167780000)', 'F', 'Pengembang Kawasan Wisata - Beban Pokok Pendapatan Management Fee', 0, 0),</v>
      </c>
    </row>
    <row r="490" spans="1:14" ht="62.4" x14ac:dyDescent="0.3">
      <c r="A490" s="4">
        <v>1486</v>
      </c>
      <c r="B490" s="4" t="s">
        <v>177</v>
      </c>
      <c r="C490" s="4" t="s">
        <v>178</v>
      </c>
      <c r="D490" s="7" t="s">
        <v>585</v>
      </c>
      <c r="E490" s="4" t="s">
        <v>40</v>
      </c>
      <c r="F490" s="9" t="s">
        <v>26</v>
      </c>
      <c r="G490" s="4">
        <v>487</v>
      </c>
      <c r="H490" s="4">
        <v>40</v>
      </c>
      <c r="I490" s="4" t="s">
        <v>934</v>
      </c>
      <c r="J490" s="4" t="str">
        <f t="shared" si="14"/>
        <v>5167780003</v>
      </c>
      <c r="K490" s="1" t="s">
        <v>12</v>
      </c>
      <c r="L490" s="4" t="s">
        <v>175</v>
      </c>
      <c r="M490" s="8" t="s">
        <v>899</v>
      </c>
      <c r="N490" s="4" t="str">
        <f t="shared" si="15"/>
        <v>('1486','RPT_009', 'LabaTrialBalance3rdSegment', '5167780003 - Beban Pokok Pendapatan - Management Fee atas Solar VP', 'Beban Pokok Pendapatan', 'Pemilik dan Operator', '487', '40', 'AND ma.main_account_id IN (5167780003)', 'F', 'Pengembang Kawasan Wisata - Beban Pokok Pendapatan Management Fee', 0, 0),</v>
      </c>
    </row>
    <row r="491" spans="1:14" x14ac:dyDescent="0.3">
      <c r="A491" s="4">
        <v>1487</v>
      </c>
      <c r="B491" s="4" t="s">
        <v>177</v>
      </c>
      <c r="C491" s="4" t="s">
        <v>178</v>
      </c>
      <c r="D491" s="3" t="s">
        <v>45</v>
      </c>
      <c r="E491" s="4" t="s">
        <v>40</v>
      </c>
      <c r="F491" s="9" t="s">
        <v>33</v>
      </c>
      <c r="G491" s="4">
        <v>488</v>
      </c>
      <c r="H491" s="4">
        <v>41</v>
      </c>
      <c r="I491" s="4" t="s">
        <v>934</v>
      </c>
      <c r="J491" s="4" t="str">
        <f t="shared" si="14"/>
        <v>5200000000</v>
      </c>
      <c r="K491" s="1" t="s">
        <v>12</v>
      </c>
      <c r="L491" s="4" t="s">
        <v>175</v>
      </c>
      <c r="M491" s="8" t="s">
        <v>33</v>
      </c>
      <c r="N491" s="4" t="str">
        <f t="shared" si="15"/>
        <v>('1487','RPT_009', 'LabaTrialBalance3rdSegment', '5200000000 - Pemilik', 'Beban Pokok Pendapatan', 'Pemilik', '488', '41', 'AND ma.main_account_id IN (5200000000)', 'F', 'Pemilik', 0, 0),</v>
      </c>
    </row>
    <row r="492" spans="1:14" ht="31.2" x14ac:dyDescent="0.3">
      <c r="A492" s="4">
        <v>1488</v>
      </c>
      <c r="B492" s="4" t="s">
        <v>177</v>
      </c>
      <c r="C492" s="4" t="s">
        <v>178</v>
      </c>
      <c r="D492" s="5" t="s">
        <v>46</v>
      </c>
      <c r="E492" s="4" t="s">
        <v>40</v>
      </c>
      <c r="F492" s="9" t="s">
        <v>33</v>
      </c>
      <c r="G492" s="4">
        <v>489</v>
      </c>
      <c r="H492" s="4">
        <v>42</v>
      </c>
      <c r="I492" s="4" t="s">
        <v>934</v>
      </c>
      <c r="J492" s="4" t="str">
        <f t="shared" si="14"/>
        <v>5230000000</v>
      </c>
      <c r="K492" s="1" t="s">
        <v>12</v>
      </c>
      <c r="L492" s="4" t="s">
        <v>175</v>
      </c>
      <c r="M492" s="8" t="s">
        <v>854</v>
      </c>
      <c r="N492" s="4" t="str">
        <f t="shared" si="15"/>
        <v>('1488','RPT_009', 'LabaTrialBalance3rdSegment', '5230000000 -  Perhotelan &amp; Manajemen Perjalanan - Kamar', 'Beban Pokok Pendapatan', 'Pemilik', '489', '42', 'AND ma.main_account_id IN (5230000000)', 'F', 'Perhotelan &amp; Manajemen Perjalanan - Kamar', 0, 0),</v>
      </c>
    </row>
    <row r="493" spans="1:14" ht="31.2" x14ac:dyDescent="0.3">
      <c r="A493" s="4">
        <v>1489</v>
      </c>
      <c r="B493" s="4" t="s">
        <v>177</v>
      </c>
      <c r="C493" s="4" t="s">
        <v>178</v>
      </c>
      <c r="D493" s="6" t="s">
        <v>586</v>
      </c>
      <c r="E493" s="4" t="s">
        <v>40</v>
      </c>
      <c r="F493" s="9" t="s">
        <v>33</v>
      </c>
      <c r="G493" s="4">
        <v>490</v>
      </c>
      <c r="H493" s="4">
        <v>43</v>
      </c>
      <c r="I493" s="4" t="s">
        <v>934</v>
      </c>
      <c r="J493" s="4" t="str">
        <f t="shared" si="14"/>
        <v>5230990000</v>
      </c>
      <c r="K493" s="1" t="s">
        <v>12</v>
      </c>
      <c r="L493" s="4" t="s">
        <v>175</v>
      </c>
      <c r="M493" s="8" t="s">
        <v>854</v>
      </c>
      <c r="N493" s="4" t="str">
        <f t="shared" si="15"/>
        <v>('1489','RPT_009', 'LabaTrialBalance3rdSegment', '5230990000 -  Beban Pokok Pendapatan Kamar Lainnya', 'Beban Pokok Pendapatan', 'Pemilik', '490', '43', 'AND ma.main_account_id IN (5230990000)', 'F', 'Perhotelan &amp; Manajemen Perjalanan - Kamar', 0, 0),</v>
      </c>
    </row>
    <row r="494" spans="1:14" ht="31.2" x14ac:dyDescent="0.3">
      <c r="A494" s="4">
        <v>1490</v>
      </c>
      <c r="B494" s="4" t="s">
        <v>177</v>
      </c>
      <c r="C494" s="4" t="s">
        <v>178</v>
      </c>
      <c r="D494" s="7" t="s">
        <v>587</v>
      </c>
      <c r="E494" s="4" t="s">
        <v>40</v>
      </c>
      <c r="F494" s="9" t="s">
        <v>33</v>
      </c>
      <c r="G494" s="4">
        <v>491</v>
      </c>
      <c r="H494" s="4">
        <v>44</v>
      </c>
      <c r="I494" s="4" t="s">
        <v>934</v>
      </c>
      <c r="J494" s="4" t="str">
        <f t="shared" si="14"/>
        <v>5230990010</v>
      </c>
      <c r="K494" s="1" t="s">
        <v>12</v>
      </c>
      <c r="L494" s="4" t="s">
        <v>175</v>
      </c>
      <c r="M494" s="8" t="s">
        <v>854</v>
      </c>
      <c r="N494" s="4" t="str">
        <f t="shared" si="15"/>
        <v>('1490','RPT_009', 'LabaTrialBalance3rdSegment', '5230990010 - Beban Pokok Pendapatan - Kamar Lainnya', 'Beban Pokok Pendapatan', 'Pemilik', '491', '44', 'AND ma.main_account_id IN (5230990010)', 'F', 'Perhotelan &amp; Manajemen Perjalanan - Kamar', 0, 0),</v>
      </c>
    </row>
    <row r="495" spans="1:14" ht="46.8" x14ac:dyDescent="0.3">
      <c r="A495" s="4">
        <v>1491</v>
      </c>
      <c r="B495" s="4" t="s">
        <v>177</v>
      </c>
      <c r="C495" s="4" t="s">
        <v>178</v>
      </c>
      <c r="D495" s="5" t="s">
        <v>47</v>
      </c>
      <c r="E495" s="4" t="s">
        <v>40</v>
      </c>
      <c r="F495" s="9" t="s">
        <v>33</v>
      </c>
      <c r="G495" s="4">
        <v>492</v>
      </c>
      <c r="H495" s="4">
        <v>45</v>
      </c>
      <c r="I495" s="4" t="s">
        <v>934</v>
      </c>
      <c r="J495" s="4" t="str">
        <f t="shared" si="14"/>
        <v>5231000000</v>
      </c>
      <c r="K495" s="1" t="s">
        <v>12</v>
      </c>
      <c r="L495" s="4" t="s">
        <v>175</v>
      </c>
      <c r="M495" s="8" t="s">
        <v>894</v>
      </c>
      <c r="N495" s="4" t="str">
        <f t="shared" si="15"/>
        <v>('1491','RPT_009', 'LabaTrialBalance3rdSegment', '5231000000 -  Perhotelan &amp; Manajemen Perjalanan - Pendapatan Non-Kamar - Food &amp; Beverages', 'Beban Pokok Pendapatan', 'Pemilik', '492', '45', 'AND ma.main_account_id IN (5231000000)', 'F', 'Perhotelan &amp; Manajemen Perjalanan - Pendapatan Non-Kamar - Food &amp; Beverages', 0, 0),</v>
      </c>
    </row>
    <row r="496" spans="1:14" ht="46.8" x14ac:dyDescent="0.3">
      <c r="A496" s="4">
        <v>1492</v>
      </c>
      <c r="B496" s="4" t="s">
        <v>177</v>
      </c>
      <c r="C496" s="4" t="s">
        <v>178</v>
      </c>
      <c r="D496" s="6" t="s">
        <v>588</v>
      </c>
      <c r="E496" s="4" t="s">
        <v>40</v>
      </c>
      <c r="F496" s="9" t="s">
        <v>33</v>
      </c>
      <c r="G496" s="4">
        <v>493</v>
      </c>
      <c r="H496" s="4">
        <v>46</v>
      </c>
      <c r="I496" s="4" t="s">
        <v>934</v>
      </c>
      <c r="J496" s="4" t="str">
        <f t="shared" si="14"/>
        <v>5231990000</v>
      </c>
      <c r="K496" s="1" t="s">
        <v>12</v>
      </c>
      <c r="L496" s="4" t="s">
        <v>175</v>
      </c>
      <c r="M496" s="8" t="s">
        <v>894</v>
      </c>
      <c r="N496" s="4" t="str">
        <f t="shared" si="15"/>
        <v>('1492','RPT_009', 'LabaTrialBalance3rdSegment', '5231990000 -  Beban Pokok Pendapatan Food &amp; Beverages Lainnya', 'Beban Pokok Pendapatan', 'Pemilik', '493', '46', 'AND ma.main_account_id IN (5231990000)', 'F', 'Perhotelan &amp; Manajemen Perjalanan - Pendapatan Non-Kamar - Food &amp; Beverages', 0, 0),</v>
      </c>
    </row>
    <row r="497" spans="1:14" ht="46.8" x14ac:dyDescent="0.3">
      <c r="A497" s="4">
        <v>1493</v>
      </c>
      <c r="B497" s="4" t="s">
        <v>177</v>
      </c>
      <c r="C497" s="4" t="s">
        <v>178</v>
      </c>
      <c r="D497" s="7" t="s">
        <v>589</v>
      </c>
      <c r="E497" s="4" t="s">
        <v>40</v>
      </c>
      <c r="F497" s="9" t="s">
        <v>33</v>
      </c>
      <c r="G497" s="4">
        <v>494</v>
      </c>
      <c r="H497" s="4">
        <v>47</v>
      </c>
      <c r="I497" s="4" t="s">
        <v>934</v>
      </c>
      <c r="J497" s="4" t="str">
        <f t="shared" si="14"/>
        <v>5231990010</v>
      </c>
      <c r="K497" s="1" t="s">
        <v>12</v>
      </c>
      <c r="L497" s="4" t="s">
        <v>175</v>
      </c>
      <c r="M497" s="8" t="s">
        <v>894</v>
      </c>
      <c r="N497" s="4" t="str">
        <f t="shared" si="15"/>
        <v>('1493','RPT_009', 'LabaTrialBalance3rdSegment', '5231990010 - Beban Pokok Pendapatan - Food &amp; Beverages Lainnya', 'Beban Pokok Pendapatan', 'Pemilik', '494', '47', 'AND ma.main_account_id IN (5231990010)', 'F', 'Perhotelan &amp; Manajemen Perjalanan - Pendapatan Non-Kamar - Food &amp; Beverages', 0, 0),</v>
      </c>
    </row>
    <row r="498" spans="1:14" ht="62.4" x14ac:dyDescent="0.3">
      <c r="A498" s="4">
        <v>1494</v>
      </c>
      <c r="B498" s="4" t="s">
        <v>177</v>
      </c>
      <c r="C498" s="4" t="s">
        <v>178</v>
      </c>
      <c r="D498" s="5" t="s">
        <v>48</v>
      </c>
      <c r="E498" s="4" t="s">
        <v>40</v>
      </c>
      <c r="F498" s="9" t="s">
        <v>33</v>
      </c>
      <c r="G498" s="4">
        <v>495</v>
      </c>
      <c r="H498" s="4">
        <v>48</v>
      </c>
      <c r="I498" s="4" t="s">
        <v>934</v>
      </c>
      <c r="J498" s="4" t="str">
        <f t="shared" si="14"/>
        <v>5232000000</v>
      </c>
      <c r="K498" s="1" t="s">
        <v>12</v>
      </c>
      <c r="L498" s="4" t="s">
        <v>175</v>
      </c>
      <c r="M498" s="8" t="s">
        <v>895</v>
      </c>
      <c r="N498" s="4" t="str">
        <f t="shared" si="15"/>
        <v>('1494','RPT_009', 'LabaTrialBalance3rdSegment', '5232000000 -  Perhotelan &amp; Manajemen Perjalanan - Pendapatan Non-Kamar - Fasilitas Hotel Lainnya', 'Beban Pokok Pendapatan', 'Pemilik', '495', '48', 'AND ma.main_account_id IN (5232000000)', 'F', 'Perhotelan &amp; Manajemen Perjalanan - Pendapatan Non-Kamar - Fasilitas Hotel Lainnya', 0, 0),</v>
      </c>
    </row>
    <row r="499" spans="1:14" ht="62.4" x14ac:dyDescent="0.3">
      <c r="A499" s="4">
        <v>1495</v>
      </c>
      <c r="B499" s="4" t="s">
        <v>177</v>
      </c>
      <c r="C499" s="4" t="s">
        <v>178</v>
      </c>
      <c r="D499" s="6" t="s">
        <v>590</v>
      </c>
      <c r="E499" s="4" t="s">
        <v>40</v>
      </c>
      <c r="F499" s="9" t="s">
        <v>33</v>
      </c>
      <c r="G499" s="4">
        <v>496</v>
      </c>
      <c r="H499" s="4">
        <v>49</v>
      </c>
      <c r="I499" s="4" t="s">
        <v>934</v>
      </c>
      <c r="J499" s="4" t="str">
        <f t="shared" si="14"/>
        <v>5232050000</v>
      </c>
      <c r="K499" s="1" t="s">
        <v>12</v>
      </c>
      <c r="L499" s="4" t="s">
        <v>175</v>
      </c>
      <c r="M499" s="8" t="s">
        <v>895</v>
      </c>
      <c r="N499" s="4" t="str">
        <f t="shared" si="15"/>
        <v>('1495','RPT_009', 'LabaTrialBalance3rdSegment', '5232050000 -  Beban Sewa', 'Beban Pokok Pendapatan', 'Pemilik', '496', '49', 'AND ma.main_account_id IN (5232050000)', 'F', 'Perhotelan &amp; Manajemen Perjalanan - Pendapatan Non-Kamar - Fasilitas Hotel Lainnya', 0, 0),</v>
      </c>
    </row>
    <row r="500" spans="1:14" ht="62.4" x14ac:dyDescent="0.3">
      <c r="A500" s="4">
        <v>1496</v>
      </c>
      <c r="B500" s="4" t="s">
        <v>177</v>
      </c>
      <c r="C500" s="4" t="s">
        <v>178</v>
      </c>
      <c r="D500" s="7" t="s">
        <v>591</v>
      </c>
      <c r="E500" s="4" t="s">
        <v>40</v>
      </c>
      <c r="F500" s="9" t="s">
        <v>33</v>
      </c>
      <c r="G500" s="4">
        <v>497</v>
      </c>
      <c r="H500" s="4">
        <v>50</v>
      </c>
      <c r="I500" s="4" t="s">
        <v>934</v>
      </c>
      <c r="J500" s="4" t="str">
        <f t="shared" si="14"/>
        <v>5232050002</v>
      </c>
      <c r="K500" s="1" t="s">
        <v>12</v>
      </c>
      <c r="L500" s="4" t="s">
        <v>175</v>
      </c>
      <c r="M500" s="8" t="s">
        <v>895</v>
      </c>
      <c r="N500" s="4" t="str">
        <f t="shared" si="15"/>
        <v>('1496','RPT_009', 'LabaTrialBalance3rdSegment', '5232050002 - Beban Pendapatan Sewa Ruangan - MICE', 'Beban Pokok Pendapatan', 'Pemilik', '497', '50', 'AND ma.main_account_id IN (5232050002)', 'F', 'Perhotelan &amp; Manajemen Perjalanan - Pendapatan Non-Kamar - Fasilitas Hotel Lainnya', 0, 0),</v>
      </c>
    </row>
    <row r="501" spans="1:14" ht="62.4" x14ac:dyDescent="0.3">
      <c r="A501" s="4">
        <v>1497</v>
      </c>
      <c r="B501" s="4" t="s">
        <v>177</v>
      </c>
      <c r="C501" s="4" t="s">
        <v>178</v>
      </c>
      <c r="D501" s="6" t="s">
        <v>592</v>
      </c>
      <c r="E501" s="4" t="s">
        <v>40</v>
      </c>
      <c r="F501" s="9" t="s">
        <v>33</v>
      </c>
      <c r="G501" s="4">
        <v>498</v>
      </c>
      <c r="H501" s="4">
        <v>51</v>
      </c>
      <c r="I501" s="4" t="s">
        <v>934</v>
      </c>
      <c r="J501" s="4" t="str">
        <f t="shared" si="14"/>
        <v>5232990000</v>
      </c>
      <c r="K501" s="1" t="s">
        <v>12</v>
      </c>
      <c r="L501" s="4" t="s">
        <v>175</v>
      </c>
      <c r="M501" s="8" t="s">
        <v>895</v>
      </c>
      <c r="N501" s="4" t="str">
        <f t="shared" si="15"/>
        <v>('1497','RPT_009', 'LabaTrialBalance3rdSegment', '5232990000 -  Beban Pokok Pendapatan Fasilitas Hotel Lainnya', 'Beban Pokok Pendapatan', 'Pemilik', '498', '51', 'AND ma.main_account_id IN (5232990000)', 'F', 'Perhotelan &amp; Manajemen Perjalanan - Pendapatan Non-Kamar - Fasilitas Hotel Lainnya', 0, 0),</v>
      </c>
    </row>
    <row r="502" spans="1:14" ht="62.4" x14ac:dyDescent="0.3">
      <c r="A502" s="4">
        <v>1498</v>
      </c>
      <c r="B502" s="4" t="s">
        <v>177</v>
      </c>
      <c r="C502" s="4" t="s">
        <v>178</v>
      </c>
      <c r="D502" s="7" t="s">
        <v>593</v>
      </c>
      <c r="E502" s="4" t="s">
        <v>40</v>
      </c>
      <c r="F502" s="9" t="s">
        <v>33</v>
      </c>
      <c r="G502" s="4">
        <v>499</v>
      </c>
      <c r="H502" s="4">
        <v>52</v>
      </c>
      <c r="I502" s="4" t="s">
        <v>934</v>
      </c>
      <c r="J502" s="4" t="str">
        <f t="shared" si="14"/>
        <v>5232990010</v>
      </c>
      <c r="K502" s="1" t="s">
        <v>12</v>
      </c>
      <c r="L502" s="4" t="s">
        <v>175</v>
      </c>
      <c r="M502" s="8" t="s">
        <v>895</v>
      </c>
      <c r="N502" s="4" t="str">
        <f t="shared" si="15"/>
        <v>('1498','RPT_009', 'LabaTrialBalance3rdSegment', '5232990010 - Beban Pokok Pendapatan - Fasilitas Hotel Lainnya', 'Beban Pokok Pendapatan', 'Pemilik', '499', '52', 'AND ma.main_account_id IN (5232990010)', 'F', 'Perhotelan &amp; Manajemen Perjalanan - Pendapatan Non-Kamar - Fasilitas Hotel Lainnya', 0, 0),</v>
      </c>
    </row>
    <row r="503" spans="1:14" ht="31.2" x14ac:dyDescent="0.3">
      <c r="A503" s="4">
        <v>1499</v>
      </c>
      <c r="B503" s="4" t="s">
        <v>177</v>
      </c>
      <c r="C503" s="4" t="s">
        <v>178</v>
      </c>
      <c r="D503" s="5" t="s">
        <v>49</v>
      </c>
      <c r="E503" s="4" t="s">
        <v>40</v>
      </c>
      <c r="F503" s="9" t="s">
        <v>33</v>
      </c>
      <c r="G503" s="4">
        <v>500</v>
      </c>
      <c r="H503" s="4">
        <v>53</v>
      </c>
      <c r="I503" s="4" t="s">
        <v>934</v>
      </c>
      <c r="J503" s="4" t="str">
        <f t="shared" si="14"/>
        <v>5235000000</v>
      </c>
      <c r="K503" s="1" t="s">
        <v>12</v>
      </c>
      <c r="L503" s="4" t="s">
        <v>175</v>
      </c>
      <c r="M503" s="8" t="s">
        <v>900</v>
      </c>
      <c r="N503" s="4" t="str">
        <f t="shared" si="15"/>
        <v>('1499','RPT_009', 'LabaTrialBalance3rdSegment', '5235000000 -  Perhotelan &amp; Manajemen Perjalanan - Management Fee', 'Beban Pokok Pendapatan', 'Pemilik', '500', '53', 'AND ma.main_account_id IN (5235000000)', 'F', 'Perhotelan &amp; Manajemen Perjalanan - Management Fee', 0, 0),</v>
      </c>
    </row>
    <row r="504" spans="1:14" ht="31.2" x14ac:dyDescent="0.3">
      <c r="A504" s="4">
        <v>1500</v>
      </c>
      <c r="B504" s="4" t="s">
        <v>177</v>
      </c>
      <c r="C504" s="4" t="s">
        <v>178</v>
      </c>
      <c r="D504" s="6" t="s">
        <v>594</v>
      </c>
      <c r="E504" s="4" t="s">
        <v>40</v>
      </c>
      <c r="F504" s="9" t="s">
        <v>33</v>
      </c>
      <c r="G504" s="4">
        <v>501</v>
      </c>
      <c r="H504" s="4">
        <v>54</v>
      </c>
      <c r="I504" s="4" t="s">
        <v>934</v>
      </c>
      <c r="J504" s="4" t="str">
        <f t="shared" si="14"/>
        <v>5235110000</v>
      </c>
      <c r="K504" s="1" t="s">
        <v>12</v>
      </c>
      <c r="L504" s="4" t="s">
        <v>175</v>
      </c>
      <c r="M504" s="8" t="s">
        <v>900</v>
      </c>
      <c r="N504" s="4" t="str">
        <f t="shared" si="15"/>
        <v>('1500','RPT_009', 'LabaTrialBalance3rdSegment', '5235110000 -  Beban Management Fee', 'Beban Pokok Pendapatan', 'Pemilik', '501', '54', 'AND ma.main_account_id IN (5235110000)', 'F', 'Perhotelan &amp; Manajemen Perjalanan - Management Fee', 0, 0),</v>
      </c>
    </row>
    <row r="505" spans="1:14" ht="31.2" x14ac:dyDescent="0.3">
      <c r="A505" s="4">
        <v>1501</v>
      </c>
      <c r="B505" s="4" t="s">
        <v>177</v>
      </c>
      <c r="C505" s="4" t="s">
        <v>178</v>
      </c>
      <c r="D505" s="7" t="s">
        <v>595</v>
      </c>
      <c r="E505" s="4" t="s">
        <v>40</v>
      </c>
      <c r="F505" s="9" t="s">
        <v>33</v>
      </c>
      <c r="G505" s="4">
        <v>502</v>
      </c>
      <c r="H505" s="4">
        <v>55</v>
      </c>
      <c r="I505" s="4" t="s">
        <v>934</v>
      </c>
      <c r="J505" s="4" t="str">
        <f t="shared" si="14"/>
        <v>5235110001</v>
      </c>
      <c r="K505" s="1" t="s">
        <v>12</v>
      </c>
      <c r="L505" s="4" t="s">
        <v>175</v>
      </c>
      <c r="M505" s="8" t="s">
        <v>900</v>
      </c>
      <c r="N505" s="4" t="str">
        <f t="shared" si="15"/>
        <v>('1501','RPT_009', 'LabaTrialBalance3rdSegment', '5235110001 - Management fee', 'Beban Pokok Pendapatan', 'Pemilik', '502', '55', 'AND ma.main_account_id IN (5235110001)', 'F', 'Perhotelan &amp; Manajemen Perjalanan - Management Fee', 0, 0),</v>
      </c>
    </row>
    <row r="506" spans="1:14" ht="31.2" x14ac:dyDescent="0.3">
      <c r="A506" s="4">
        <v>1502</v>
      </c>
      <c r="B506" s="4" t="s">
        <v>177</v>
      </c>
      <c r="C506" s="4" t="s">
        <v>178</v>
      </c>
      <c r="D506" s="5" t="s">
        <v>50</v>
      </c>
      <c r="E506" s="4" t="s">
        <v>40</v>
      </c>
      <c r="F506" s="9" t="s">
        <v>33</v>
      </c>
      <c r="G506" s="4">
        <v>503</v>
      </c>
      <c r="H506" s="4">
        <v>56</v>
      </c>
      <c r="I506" s="4" t="s">
        <v>934</v>
      </c>
      <c r="J506" s="4" t="str">
        <f t="shared" si="14"/>
        <v>5269000000</v>
      </c>
      <c r="K506" s="1" t="s">
        <v>12</v>
      </c>
      <c r="L506" s="4" t="s">
        <v>175</v>
      </c>
      <c r="M506" s="8" t="s">
        <v>898</v>
      </c>
      <c r="N506" s="4" t="str">
        <f t="shared" si="15"/>
        <v>('1502','RPT_009', 'LabaTrialBalance3rdSegment', '5269000000 -  Pengembang Kawasan Wisata - Lainnya', 'Beban Pokok Pendapatan', 'Pemilik', '503', '56', 'AND ma.main_account_id IN (5269000000)', 'F', 'Pengembang Kawasan Wisata - Lainnya', 0, 0),</v>
      </c>
    </row>
    <row r="507" spans="1:14" ht="31.2" x14ac:dyDescent="0.3">
      <c r="A507" s="4">
        <v>1503</v>
      </c>
      <c r="B507" s="4" t="s">
        <v>177</v>
      </c>
      <c r="C507" s="4" t="s">
        <v>178</v>
      </c>
      <c r="D507" s="6" t="s">
        <v>596</v>
      </c>
      <c r="E507" s="4" t="s">
        <v>40</v>
      </c>
      <c r="F507" s="9" t="s">
        <v>33</v>
      </c>
      <c r="G507" s="4">
        <v>504</v>
      </c>
      <c r="H507" s="4">
        <v>57</v>
      </c>
      <c r="I507" s="4" t="s">
        <v>934</v>
      </c>
      <c r="J507" s="4" t="str">
        <f t="shared" si="14"/>
        <v>5269790000</v>
      </c>
      <c r="K507" s="1" t="s">
        <v>12</v>
      </c>
      <c r="L507" s="4" t="s">
        <v>175</v>
      </c>
      <c r="M507" s="8" t="s">
        <v>898</v>
      </c>
      <c r="N507" s="4" t="str">
        <f t="shared" si="15"/>
        <v>('1503','RPT_009', 'LabaTrialBalance3rdSegment', '5269790000 -  Beban DTW Water Blow', 'Beban Pokok Pendapatan', 'Pemilik', '504', '57', 'AND ma.main_account_id IN (5269790000)', 'F', 'Pengembang Kawasan Wisata - Lainnya', 0, 0),</v>
      </c>
    </row>
    <row r="508" spans="1:14" ht="31.2" x14ac:dyDescent="0.3">
      <c r="A508" s="4">
        <v>1504</v>
      </c>
      <c r="B508" s="4" t="s">
        <v>177</v>
      </c>
      <c r="C508" s="4" t="s">
        <v>178</v>
      </c>
      <c r="D508" s="7" t="s">
        <v>597</v>
      </c>
      <c r="E508" s="4" t="s">
        <v>40</v>
      </c>
      <c r="F508" s="9" t="s">
        <v>33</v>
      </c>
      <c r="G508" s="4">
        <v>505</v>
      </c>
      <c r="H508" s="4">
        <v>58</v>
      </c>
      <c r="I508" s="4" t="s">
        <v>934</v>
      </c>
      <c r="J508" s="4" t="str">
        <f t="shared" si="14"/>
        <v>5269790001</v>
      </c>
      <c r="K508" s="1" t="s">
        <v>12</v>
      </c>
      <c r="L508" s="4" t="s">
        <v>175</v>
      </c>
      <c r="M508" s="8" t="s">
        <v>898</v>
      </c>
      <c r="N508" s="4" t="str">
        <f t="shared" si="15"/>
        <v>('1504','RPT_009', 'LabaTrialBalance3rdSegment', '5269790001 - Beban Pokok Pendapatan - DTW', 'Beban Pokok Pendapatan', 'Pemilik', '505', '58', 'AND ma.main_account_id IN (5269790001)', 'F', 'Pengembang Kawasan Wisata - Lainnya', 0, 0),</v>
      </c>
    </row>
    <row r="509" spans="1:14" x14ac:dyDescent="0.3">
      <c r="A509" s="4">
        <v>1505</v>
      </c>
      <c r="B509" s="4" t="s">
        <v>177</v>
      </c>
      <c r="C509" s="4" t="s">
        <v>178</v>
      </c>
      <c r="D509" s="2" t="s">
        <v>51</v>
      </c>
      <c r="E509" s="4" t="s">
        <v>78</v>
      </c>
      <c r="F509" s="9" t="s">
        <v>78</v>
      </c>
      <c r="G509" s="4">
        <v>506</v>
      </c>
      <c r="H509" s="4">
        <v>1</v>
      </c>
      <c r="I509" s="4" t="s">
        <v>934</v>
      </c>
      <c r="J509" s="4" t="str">
        <f t="shared" si="14"/>
        <v>6000000000</v>
      </c>
      <c r="K509" s="1" t="s">
        <v>12</v>
      </c>
      <c r="L509" s="4" t="s">
        <v>176</v>
      </c>
      <c r="M509" s="10" t="s">
        <v>78</v>
      </c>
      <c r="N509" s="4" t="str">
        <f t="shared" si="15"/>
        <v>('1505','RPT_009', 'LabaTrialBalance3rdSegment', '6000000000 - Beban Usaha', 'Beban Usaha', 'Beban Usaha', '506', '1', 'AND ma.main_account_id IN (6000000000)', 'G', 'Beban Usaha', 0, 0),</v>
      </c>
    </row>
    <row r="510" spans="1:14" x14ac:dyDescent="0.3">
      <c r="A510" s="4">
        <v>1506</v>
      </c>
      <c r="B510" s="4" t="s">
        <v>177</v>
      </c>
      <c r="C510" s="4" t="s">
        <v>178</v>
      </c>
      <c r="D510" s="3" t="s">
        <v>52</v>
      </c>
      <c r="E510" s="4" t="s">
        <v>78</v>
      </c>
      <c r="F510" s="9" t="s">
        <v>79</v>
      </c>
      <c r="G510" s="4">
        <v>507</v>
      </c>
      <c r="H510" s="4">
        <v>2</v>
      </c>
      <c r="I510" s="4" t="s">
        <v>934</v>
      </c>
      <c r="J510" s="4" t="str">
        <f t="shared" si="14"/>
        <v>6100000000</v>
      </c>
      <c r="K510" s="1" t="s">
        <v>12</v>
      </c>
      <c r="L510" s="4" t="s">
        <v>176</v>
      </c>
      <c r="M510" s="8" t="s">
        <v>79</v>
      </c>
      <c r="N510" s="4" t="str">
        <f t="shared" si="15"/>
        <v>('1506','RPT_009', 'LabaTrialBalance3rdSegment', '6100000000 - Beban umum dan administrasi', 'Beban Usaha', 'Beban umum dan administrasi', '507', '2', 'AND ma.main_account_id IN (6100000000)', 'G', 'Beban umum dan administrasi', 0, 0),</v>
      </c>
    </row>
    <row r="511" spans="1:14" x14ac:dyDescent="0.3">
      <c r="A511" s="4">
        <v>1507</v>
      </c>
      <c r="B511" s="4" t="s">
        <v>177</v>
      </c>
      <c r="C511" s="4" t="s">
        <v>178</v>
      </c>
      <c r="D511" s="5" t="s">
        <v>53</v>
      </c>
      <c r="E511" s="4" t="s">
        <v>78</v>
      </c>
      <c r="F511" s="9" t="s">
        <v>79</v>
      </c>
      <c r="G511" s="4">
        <v>508</v>
      </c>
      <c r="H511" s="4">
        <v>3</v>
      </c>
      <c r="I511" s="4" t="s">
        <v>934</v>
      </c>
      <c r="J511" s="4" t="str">
        <f t="shared" si="14"/>
        <v>6101000000</v>
      </c>
      <c r="K511" s="1" t="s">
        <v>12</v>
      </c>
      <c r="L511" s="4" t="s">
        <v>176</v>
      </c>
      <c r="M511" s="8" t="s">
        <v>901</v>
      </c>
      <c r="N511" s="4" t="str">
        <f t="shared" si="15"/>
        <v>('1507','RPT_009', 'LabaTrialBalance3rdSegment', '6101000000 -  Beban Pegawai', 'Beban Usaha', 'Beban umum dan administrasi', '508', '3', 'AND ma.main_account_id IN (6101000000)', 'G', ' Beban Pegawai', 0, 0),</v>
      </c>
    </row>
    <row r="512" spans="1:14" x14ac:dyDescent="0.3">
      <c r="A512" s="4">
        <v>1508</v>
      </c>
      <c r="B512" s="4" t="s">
        <v>177</v>
      </c>
      <c r="C512" s="4" t="s">
        <v>178</v>
      </c>
      <c r="D512" s="6" t="s">
        <v>598</v>
      </c>
      <c r="E512" s="4" t="s">
        <v>78</v>
      </c>
      <c r="F512" s="9" t="s">
        <v>79</v>
      </c>
      <c r="G512" s="4">
        <v>509</v>
      </c>
      <c r="H512" s="4">
        <v>4</v>
      </c>
      <c r="I512" s="4" t="s">
        <v>934</v>
      </c>
      <c r="J512" s="4" t="str">
        <f t="shared" si="14"/>
        <v>6101010000</v>
      </c>
      <c r="K512" s="1" t="s">
        <v>12</v>
      </c>
      <c r="L512" s="4" t="s">
        <v>176</v>
      </c>
      <c r="M512" s="8" t="s">
        <v>901</v>
      </c>
      <c r="N512" s="4" t="str">
        <f t="shared" si="15"/>
        <v>('1508','RPT_009', 'LabaTrialBalance3rdSegment', '6101010000 -  Gaji dan Upah', 'Beban Usaha', 'Beban umum dan administrasi', '509', '4', 'AND ma.main_account_id IN (6101010000)', 'G', ' Beban Pegawai', 0, 0),</v>
      </c>
    </row>
    <row r="513" spans="1:14" x14ac:dyDescent="0.3">
      <c r="A513" s="4">
        <v>1509</v>
      </c>
      <c r="B513" s="4" t="s">
        <v>177</v>
      </c>
      <c r="C513" s="4" t="s">
        <v>178</v>
      </c>
      <c r="D513" s="7" t="s">
        <v>599</v>
      </c>
      <c r="E513" s="4" t="s">
        <v>78</v>
      </c>
      <c r="F513" s="9" t="s">
        <v>79</v>
      </c>
      <c r="G513" s="4">
        <v>510</v>
      </c>
      <c r="H513" s="4">
        <v>5</v>
      </c>
      <c r="I513" s="4" t="s">
        <v>934</v>
      </c>
      <c r="J513" s="4" t="str">
        <f t="shared" si="14"/>
        <v>6101010001</v>
      </c>
      <c r="K513" s="1" t="s">
        <v>12</v>
      </c>
      <c r="L513" s="4" t="s">
        <v>176</v>
      </c>
      <c r="M513" s="8" t="s">
        <v>901</v>
      </c>
      <c r="N513" s="4" t="str">
        <f t="shared" si="15"/>
        <v>('1509','RPT_009', 'LabaTrialBalance3rdSegment', '6101010001 - Beban Gaji Dasar', 'Beban Usaha', 'Beban umum dan administrasi', '510', '5', 'AND ma.main_account_id IN (6101010001)', 'G', ' Beban Pegawai', 0, 0),</v>
      </c>
    </row>
    <row r="514" spans="1:14" ht="27" x14ac:dyDescent="0.3">
      <c r="A514" s="4">
        <v>1510</v>
      </c>
      <c r="B514" s="4" t="s">
        <v>177</v>
      </c>
      <c r="C514" s="4" t="s">
        <v>178</v>
      </c>
      <c r="D514" s="6" t="s">
        <v>600</v>
      </c>
      <c r="E514" s="4" t="s">
        <v>78</v>
      </c>
      <c r="F514" s="9" t="s">
        <v>79</v>
      </c>
      <c r="G514" s="4">
        <v>511</v>
      </c>
      <c r="H514" s="4">
        <v>6</v>
      </c>
      <c r="I514" s="4" t="s">
        <v>934</v>
      </c>
      <c r="J514" s="4" t="str">
        <f t="shared" si="14"/>
        <v>6101020000</v>
      </c>
      <c r="K514" s="1" t="s">
        <v>12</v>
      </c>
      <c r="L514" s="4" t="s">
        <v>176</v>
      </c>
      <c r="M514" s="8" t="s">
        <v>901</v>
      </c>
      <c r="N514" s="4" t="str">
        <f t="shared" si="15"/>
        <v>('1510','RPT_009', 'LabaTrialBalance3rdSegment', '6101020000 -  Beban Perjanjian Kerja Waktu Tertentu (PKWT)', 'Beban Usaha', 'Beban umum dan administrasi', '511', '6', 'AND ma.main_account_id IN (6101020000)', 'G', ' Beban Pegawai', 0, 0),</v>
      </c>
    </row>
    <row r="515" spans="1:14" x14ac:dyDescent="0.3">
      <c r="A515" s="4">
        <v>1511</v>
      </c>
      <c r="B515" s="4" t="s">
        <v>177</v>
      </c>
      <c r="C515" s="4" t="s">
        <v>178</v>
      </c>
      <c r="D515" s="7" t="s">
        <v>601</v>
      </c>
      <c r="E515" s="4" t="s">
        <v>78</v>
      </c>
      <c r="F515" s="9" t="s">
        <v>79</v>
      </c>
      <c r="G515" s="4">
        <v>512</v>
      </c>
      <c r="H515" s="4">
        <v>7</v>
      </c>
      <c r="I515" s="4" t="s">
        <v>934</v>
      </c>
      <c r="J515" s="4" t="str">
        <f t="shared" si="14"/>
        <v>6101020001</v>
      </c>
      <c r="K515" s="1" t="s">
        <v>12</v>
      </c>
      <c r="L515" s="4" t="s">
        <v>176</v>
      </c>
      <c r="M515" s="8" t="s">
        <v>901</v>
      </c>
      <c r="N515" s="4" t="str">
        <f t="shared" si="15"/>
        <v>('1511','RPT_009', 'LabaTrialBalance3rdSegment', '6101020001 - Beban Gaji PKWT', 'Beban Usaha', 'Beban umum dan administrasi', '512', '7', 'AND ma.main_account_id IN (6101020001)', 'G', ' Beban Pegawai', 0, 0),</v>
      </c>
    </row>
    <row r="516" spans="1:14" x14ac:dyDescent="0.3">
      <c r="A516" s="4">
        <v>1512</v>
      </c>
      <c r="B516" s="4" t="s">
        <v>177</v>
      </c>
      <c r="C516" s="4" t="s">
        <v>178</v>
      </c>
      <c r="D516" s="7" t="s">
        <v>602</v>
      </c>
      <c r="E516" s="4" t="s">
        <v>78</v>
      </c>
      <c r="F516" s="9" t="s">
        <v>79</v>
      </c>
      <c r="G516" s="4">
        <v>513</v>
      </c>
      <c r="H516" s="4">
        <v>8</v>
      </c>
      <c r="I516" s="4" t="s">
        <v>934</v>
      </c>
      <c r="J516" s="4" t="str">
        <f t="shared" ref="J516:J579" si="16">_xlfn.TEXTBEFORE(D516," -")</f>
        <v>6101020002</v>
      </c>
      <c r="K516" s="1" t="s">
        <v>12</v>
      </c>
      <c r="L516" s="4" t="s">
        <v>176</v>
      </c>
      <c r="M516" s="8" t="s">
        <v>901</v>
      </c>
      <c r="N516" s="4" t="str">
        <f t="shared" si="15"/>
        <v>('1512','RPT_009', 'LabaTrialBalance3rdSegment', '6101020002 - Beban Kompensasi PKWT', 'Beban Usaha', 'Beban umum dan administrasi', '513', '8', 'AND ma.main_account_id IN (6101020002)', 'G', ' Beban Pegawai', 0, 0),</v>
      </c>
    </row>
    <row r="517" spans="1:14" x14ac:dyDescent="0.3">
      <c r="A517" s="4">
        <v>1513</v>
      </c>
      <c r="B517" s="4" t="s">
        <v>177</v>
      </c>
      <c r="C517" s="4" t="s">
        <v>178</v>
      </c>
      <c r="D517" s="6" t="s">
        <v>603</v>
      </c>
      <c r="E517" s="4" t="s">
        <v>78</v>
      </c>
      <c r="F517" s="9" t="s">
        <v>79</v>
      </c>
      <c r="G517" s="4">
        <v>514</v>
      </c>
      <c r="H517" s="4">
        <v>9</v>
      </c>
      <c r="I517" s="4" t="s">
        <v>934</v>
      </c>
      <c r="J517" s="4" t="str">
        <f t="shared" si="16"/>
        <v>6101030000</v>
      </c>
      <c r="K517" s="1" t="s">
        <v>12</v>
      </c>
      <c r="L517" s="4" t="s">
        <v>176</v>
      </c>
      <c r="M517" s="8" t="s">
        <v>901</v>
      </c>
      <c r="N517" s="4" t="str">
        <f t="shared" ref="N517:N580" si="17">"('"&amp;A517&amp;"','"&amp;B517&amp;"', '"&amp;C517&amp;"', '"&amp;D517&amp;"', '"&amp;E517&amp;"', '"&amp;F517&amp;"', '"&amp;G517&amp;"', '"&amp;H517&amp;"', '"&amp;I517&amp;J517&amp;K517&amp;"', '"&amp;L517&amp;"', '"&amp;M517&amp;"', 0, 0),"</f>
        <v>('1513','RPT_009', 'LabaTrialBalance3rdSegment', '6101030000 -  Tunjangan-tunjangan', 'Beban Usaha', 'Beban umum dan administrasi', '514', '9', 'AND ma.main_account_id IN (6101030000)', 'G', ' Beban Pegawai', 0, 0),</v>
      </c>
    </row>
    <row r="518" spans="1:14" ht="27" x14ac:dyDescent="0.3">
      <c r="A518" s="4">
        <v>1514</v>
      </c>
      <c r="B518" s="4" t="s">
        <v>177</v>
      </c>
      <c r="C518" s="4" t="s">
        <v>178</v>
      </c>
      <c r="D518" s="7" t="s">
        <v>604</v>
      </c>
      <c r="E518" s="4" t="s">
        <v>78</v>
      </c>
      <c r="F518" s="9" t="s">
        <v>79</v>
      </c>
      <c r="G518" s="4">
        <v>515</v>
      </c>
      <c r="H518" s="4">
        <v>10</v>
      </c>
      <c r="I518" s="4" t="s">
        <v>934</v>
      </c>
      <c r="J518" s="4" t="str">
        <f t="shared" si="16"/>
        <v>6101030001</v>
      </c>
      <c r="K518" s="1" t="s">
        <v>12</v>
      </c>
      <c r="L518" s="4" t="s">
        <v>176</v>
      </c>
      <c r="M518" s="8" t="s">
        <v>901</v>
      </c>
      <c r="N518" s="4" t="str">
        <f t="shared" si="17"/>
        <v>('1514','RPT_009', 'LabaTrialBalance3rdSegment', '6101030001 - Beban Tunjangan Cuti - Pegawai', 'Beban Usaha', 'Beban umum dan administrasi', '515', '10', 'AND ma.main_account_id IN (6101030001)', 'G', ' Beban Pegawai', 0, 0),</v>
      </c>
    </row>
    <row r="519" spans="1:14" ht="27" x14ac:dyDescent="0.3">
      <c r="A519" s="4">
        <v>1515</v>
      </c>
      <c r="B519" s="4" t="s">
        <v>177</v>
      </c>
      <c r="C519" s="4" t="s">
        <v>178</v>
      </c>
      <c r="D519" s="7" t="s">
        <v>605</v>
      </c>
      <c r="E519" s="4" t="s">
        <v>78</v>
      </c>
      <c r="F519" s="9" t="s">
        <v>79</v>
      </c>
      <c r="G519" s="4">
        <v>516</v>
      </c>
      <c r="H519" s="4">
        <v>11</v>
      </c>
      <c r="I519" s="4" t="s">
        <v>934</v>
      </c>
      <c r="J519" s="4" t="str">
        <f t="shared" si="16"/>
        <v>6101030002</v>
      </c>
      <c r="K519" s="1" t="s">
        <v>12</v>
      </c>
      <c r="L519" s="4" t="s">
        <v>176</v>
      </c>
      <c r="M519" s="8" t="s">
        <v>901</v>
      </c>
      <c r="N519" s="4" t="str">
        <f t="shared" si="17"/>
        <v>('1515','RPT_009', 'LabaTrialBalance3rdSegment', '6101030002 - Beban Tunjangan Hari Raya', 'Beban Usaha', 'Beban umum dan administrasi', '516', '11', 'AND ma.main_account_id IN (6101030002)', 'G', ' Beban Pegawai', 0, 0),</v>
      </c>
    </row>
    <row r="520" spans="1:14" ht="27" x14ac:dyDescent="0.3">
      <c r="A520" s="4">
        <v>1516</v>
      </c>
      <c r="B520" s="4" t="s">
        <v>177</v>
      </c>
      <c r="C520" s="4" t="s">
        <v>178</v>
      </c>
      <c r="D520" s="7" t="s">
        <v>606</v>
      </c>
      <c r="E520" s="4" t="s">
        <v>78</v>
      </c>
      <c r="F520" s="9" t="s">
        <v>79</v>
      </c>
      <c r="G520" s="4">
        <v>517</v>
      </c>
      <c r="H520" s="4">
        <v>12</v>
      </c>
      <c r="I520" s="4" t="s">
        <v>934</v>
      </c>
      <c r="J520" s="4" t="str">
        <f t="shared" si="16"/>
        <v>6101030003</v>
      </c>
      <c r="K520" s="1" t="s">
        <v>12</v>
      </c>
      <c r="L520" s="4" t="s">
        <v>176</v>
      </c>
      <c r="M520" s="8" t="s">
        <v>901</v>
      </c>
      <c r="N520" s="4" t="str">
        <f t="shared" si="17"/>
        <v>('1516','RPT_009', 'LabaTrialBalance3rdSegment', '6101030003 - Beban Tunjangan Jabatan dan Posisi', 'Beban Usaha', 'Beban umum dan administrasi', '517', '12', 'AND ma.main_account_id IN (6101030003)', 'G', ' Beban Pegawai', 0, 0),</v>
      </c>
    </row>
    <row r="521" spans="1:14" ht="27" x14ac:dyDescent="0.3">
      <c r="A521" s="4">
        <v>1517</v>
      </c>
      <c r="B521" s="4" t="s">
        <v>177</v>
      </c>
      <c r="C521" s="4" t="s">
        <v>178</v>
      </c>
      <c r="D521" s="7" t="s">
        <v>607</v>
      </c>
      <c r="E521" s="4" t="s">
        <v>78</v>
      </c>
      <c r="F521" s="9" t="s">
        <v>79</v>
      </c>
      <c r="G521" s="4">
        <v>518</v>
      </c>
      <c r="H521" s="4">
        <v>13</v>
      </c>
      <c r="I521" s="4" t="s">
        <v>934</v>
      </c>
      <c r="J521" s="4" t="str">
        <f t="shared" si="16"/>
        <v>6101030006</v>
      </c>
      <c r="K521" s="1" t="s">
        <v>12</v>
      </c>
      <c r="L521" s="4" t="s">
        <v>176</v>
      </c>
      <c r="M521" s="8" t="s">
        <v>901</v>
      </c>
      <c r="N521" s="4" t="str">
        <f t="shared" si="17"/>
        <v>('1517','RPT_009', 'LabaTrialBalance3rdSegment', '6101030006 - Beban Tunjangan Kesejahteraan', 'Beban Usaha', 'Beban umum dan administrasi', '518', '13', 'AND ma.main_account_id IN (6101030006)', 'G', ' Beban Pegawai', 0, 0),</v>
      </c>
    </row>
    <row r="522" spans="1:14" ht="27" x14ac:dyDescent="0.3">
      <c r="A522" s="4">
        <v>1518</v>
      </c>
      <c r="B522" s="4" t="s">
        <v>177</v>
      </c>
      <c r="C522" s="4" t="s">
        <v>178</v>
      </c>
      <c r="D522" s="7" t="s">
        <v>608</v>
      </c>
      <c r="E522" s="4" t="s">
        <v>78</v>
      </c>
      <c r="F522" s="9" t="s">
        <v>79</v>
      </c>
      <c r="G522" s="4">
        <v>519</v>
      </c>
      <c r="H522" s="4">
        <v>14</v>
      </c>
      <c r="I522" s="4" t="s">
        <v>934</v>
      </c>
      <c r="J522" s="4" t="str">
        <f t="shared" si="16"/>
        <v>6101030007</v>
      </c>
      <c r="K522" s="1" t="s">
        <v>12</v>
      </c>
      <c r="L522" s="4" t="s">
        <v>176</v>
      </c>
      <c r="M522" s="8" t="s">
        <v>901</v>
      </c>
      <c r="N522" s="4" t="str">
        <f t="shared" si="17"/>
        <v>('1518','RPT_009', 'LabaTrialBalance3rdSegment', '6101030007 - Beban Tunjangan Komunikasi', 'Beban Usaha', 'Beban umum dan administrasi', '519', '14', 'AND ma.main_account_id IN (6101030007)', 'G', ' Beban Pegawai', 0, 0),</v>
      </c>
    </row>
    <row r="523" spans="1:14" ht="27" x14ac:dyDescent="0.3">
      <c r="A523" s="4">
        <v>1519</v>
      </c>
      <c r="B523" s="4" t="s">
        <v>177</v>
      </c>
      <c r="C523" s="4" t="s">
        <v>178</v>
      </c>
      <c r="D523" s="7" t="s">
        <v>609</v>
      </c>
      <c r="E523" s="4" t="s">
        <v>78</v>
      </c>
      <c r="F523" s="9" t="s">
        <v>79</v>
      </c>
      <c r="G523" s="4">
        <v>520</v>
      </c>
      <c r="H523" s="4">
        <v>15</v>
      </c>
      <c r="I523" s="4" t="s">
        <v>934</v>
      </c>
      <c r="J523" s="4" t="str">
        <f t="shared" si="16"/>
        <v>6101030008</v>
      </c>
      <c r="K523" s="1" t="s">
        <v>12</v>
      </c>
      <c r="L523" s="4" t="s">
        <v>176</v>
      </c>
      <c r="M523" s="8" t="s">
        <v>901</v>
      </c>
      <c r="N523" s="4" t="str">
        <f t="shared" si="17"/>
        <v>('1519','RPT_009', 'LabaTrialBalance3rdSegment', '6101030008 - Beban Tunjangan Perumahan', 'Beban Usaha', 'Beban umum dan administrasi', '520', '15', 'AND ma.main_account_id IN (6101030008)', 'G', ' Beban Pegawai', 0, 0),</v>
      </c>
    </row>
    <row r="524" spans="1:14" x14ac:dyDescent="0.3">
      <c r="A524" s="4">
        <v>1520</v>
      </c>
      <c r="B524" s="4" t="s">
        <v>177</v>
      </c>
      <c r="C524" s="4" t="s">
        <v>178</v>
      </c>
      <c r="D524" s="6" t="s">
        <v>610</v>
      </c>
      <c r="E524" s="4" t="s">
        <v>78</v>
      </c>
      <c r="F524" s="9" t="s">
        <v>79</v>
      </c>
      <c r="G524" s="4">
        <v>521</v>
      </c>
      <c r="H524" s="4">
        <v>16</v>
      </c>
      <c r="I524" s="4" t="s">
        <v>934</v>
      </c>
      <c r="J524" s="4" t="str">
        <f t="shared" si="16"/>
        <v>6101040000</v>
      </c>
      <c r="K524" s="1" t="s">
        <v>12</v>
      </c>
      <c r="L524" s="4" t="s">
        <v>176</v>
      </c>
      <c r="M524" s="8" t="s">
        <v>901</v>
      </c>
      <c r="N524" s="4" t="str">
        <f t="shared" si="17"/>
        <v>('1520','RPT_009', 'LabaTrialBalance3rdSegment', '6101040000 -  Beban Insentif Kinerja', 'Beban Usaha', 'Beban umum dan administrasi', '521', '16', 'AND ma.main_account_id IN (6101040000)', 'G', ' Beban Pegawai', 0, 0),</v>
      </c>
    </row>
    <row r="525" spans="1:14" x14ac:dyDescent="0.3">
      <c r="A525" s="4">
        <v>1521</v>
      </c>
      <c r="B525" s="4" t="s">
        <v>177</v>
      </c>
      <c r="C525" s="4" t="s">
        <v>178</v>
      </c>
      <c r="D525" s="7" t="s">
        <v>611</v>
      </c>
      <c r="E525" s="4" t="s">
        <v>78</v>
      </c>
      <c r="F525" s="9" t="s">
        <v>79</v>
      </c>
      <c r="G525" s="4">
        <v>522</v>
      </c>
      <c r="H525" s="4">
        <v>17</v>
      </c>
      <c r="I525" s="4" t="s">
        <v>934</v>
      </c>
      <c r="J525" s="4" t="str">
        <f t="shared" si="16"/>
        <v>6101040001</v>
      </c>
      <c r="K525" s="1" t="s">
        <v>12</v>
      </c>
      <c r="L525" s="4" t="s">
        <v>176</v>
      </c>
      <c r="M525" s="8" t="s">
        <v>901</v>
      </c>
      <c r="N525" s="4" t="str">
        <f t="shared" si="17"/>
        <v>('1521','RPT_009', 'LabaTrialBalance3rdSegment', '6101040001 - Beban Insentif Kinerja', 'Beban Usaha', 'Beban umum dan administrasi', '522', '17', 'AND ma.main_account_id IN (6101040001)', 'G', ' Beban Pegawai', 0, 0),</v>
      </c>
    </row>
    <row r="526" spans="1:14" x14ac:dyDescent="0.3">
      <c r="A526" s="4">
        <v>1522</v>
      </c>
      <c r="B526" s="4" t="s">
        <v>177</v>
      </c>
      <c r="C526" s="4" t="s">
        <v>178</v>
      </c>
      <c r="D526" s="6" t="s">
        <v>612</v>
      </c>
      <c r="E526" s="4" t="s">
        <v>78</v>
      </c>
      <c r="F526" s="9" t="s">
        <v>79</v>
      </c>
      <c r="G526" s="4">
        <v>523</v>
      </c>
      <c r="H526" s="4">
        <v>18</v>
      </c>
      <c r="I526" s="4" t="s">
        <v>934</v>
      </c>
      <c r="J526" s="4" t="str">
        <f t="shared" si="16"/>
        <v>6101050000</v>
      </c>
      <c r="K526" s="1" t="s">
        <v>12</v>
      </c>
      <c r="L526" s="4" t="s">
        <v>176</v>
      </c>
      <c r="M526" s="8" t="s">
        <v>901</v>
      </c>
      <c r="N526" s="4" t="str">
        <f t="shared" si="17"/>
        <v>('1522','RPT_009', 'LabaTrialBalance3rdSegment', '6101050000 -  Beban Kelebihan Jam Kerja', 'Beban Usaha', 'Beban umum dan administrasi', '523', '18', 'AND ma.main_account_id IN (6101050000)', 'G', ' Beban Pegawai', 0, 0),</v>
      </c>
    </row>
    <row r="527" spans="1:14" ht="27" x14ac:dyDescent="0.3">
      <c r="A527" s="4">
        <v>1523</v>
      </c>
      <c r="B527" s="4" t="s">
        <v>177</v>
      </c>
      <c r="C527" s="4" t="s">
        <v>178</v>
      </c>
      <c r="D527" s="7" t="s">
        <v>613</v>
      </c>
      <c r="E527" s="4" t="s">
        <v>78</v>
      </c>
      <c r="F527" s="9" t="s">
        <v>79</v>
      </c>
      <c r="G527" s="4">
        <v>524</v>
      </c>
      <c r="H527" s="4">
        <v>19</v>
      </c>
      <c r="I527" s="4" t="s">
        <v>934</v>
      </c>
      <c r="J527" s="4" t="str">
        <f t="shared" si="16"/>
        <v>6101050001</v>
      </c>
      <c r="K527" s="1" t="s">
        <v>12</v>
      </c>
      <c r="L527" s="4" t="s">
        <v>176</v>
      </c>
      <c r="M527" s="8" t="s">
        <v>901</v>
      </c>
      <c r="N527" s="4" t="str">
        <f t="shared" si="17"/>
        <v>('1523','RPT_009', 'LabaTrialBalance3rdSegment', '6101050001 - Beban Kelebihan Jam Kerja', 'Beban Usaha', 'Beban umum dan administrasi', '524', '19', 'AND ma.main_account_id IN (6101050001)', 'G', ' Beban Pegawai', 0, 0),</v>
      </c>
    </row>
    <row r="528" spans="1:14" x14ac:dyDescent="0.3">
      <c r="A528" s="4">
        <v>1524</v>
      </c>
      <c r="B528" s="4" t="s">
        <v>177</v>
      </c>
      <c r="C528" s="4" t="s">
        <v>178</v>
      </c>
      <c r="D528" s="6" t="s">
        <v>614</v>
      </c>
      <c r="E528" s="4" t="s">
        <v>78</v>
      </c>
      <c r="F528" s="9" t="s">
        <v>79</v>
      </c>
      <c r="G528" s="4">
        <v>525</v>
      </c>
      <c r="H528" s="4">
        <v>20</v>
      </c>
      <c r="I528" s="4" t="s">
        <v>934</v>
      </c>
      <c r="J528" s="4" t="str">
        <f t="shared" si="16"/>
        <v>6101080000</v>
      </c>
      <c r="K528" s="1" t="s">
        <v>12</v>
      </c>
      <c r="L528" s="4" t="s">
        <v>176</v>
      </c>
      <c r="M528" s="8" t="s">
        <v>901</v>
      </c>
      <c r="N528" s="4" t="str">
        <f t="shared" si="17"/>
        <v>('1524','RPT_009', 'LabaTrialBalance3rdSegment', '6101080000 -  Natura', 'Beban Usaha', 'Beban umum dan administrasi', '525', '20', 'AND ma.main_account_id IN (6101080000)', 'G', ' Beban Pegawai', 0, 0),</v>
      </c>
    </row>
    <row r="529" spans="1:14" ht="27" x14ac:dyDescent="0.3">
      <c r="A529" s="4">
        <v>1525</v>
      </c>
      <c r="B529" s="4" t="s">
        <v>177</v>
      </c>
      <c r="C529" s="4" t="s">
        <v>178</v>
      </c>
      <c r="D529" s="7" t="s">
        <v>615</v>
      </c>
      <c r="E529" s="4" t="s">
        <v>78</v>
      </c>
      <c r="F529" s="9" t="s">
        <v>79</v>
      </c>
      <c r="G529" s="4">
        <v>526</v>
      </c>
      <c r="H529" s="4">
        <v>21</v>
      </c>
      <c r="I529" s="4" t="s">
        <v>934</v>
      </c>
      <c r="J529" s="4" t="str">
        <f t="shared" si="16"/>
        <v>6101080003</v>
      </c>
      <c r="K529" s="1" t="s">
        <v>12</v>
      </c>
      <c r="L529" s="4" t="s">
        <v>176</v>
      </c>
      <c r="M529" s="8" t="s">
        <v>901</v>
      </c>
      <c r="N529" s="4" t="str">
        <f t="shared" si="17"/>
        <v>('1525','RPT_009', 'LabaTrialBalance3rdSegment', '6101080003 - Beban Asuransi Ketenagakerjaan - Pegawai', 'Beban Usaha', 'Beban umum dan administrasi', '526', '21', 'AND ma.main_account_id IN (6101080003)', 'G', ' Beban Pegawai', 0, 0),</v>
      </c>
    </row>
    <row r="530" spans="1:14" x14ac:dyDescent="0.3">
      <c r="A530" s="4">
        <v>1526</v>
      </c>
      <c r="B530" s="4" t="s">
        <v>177</v>
      </c>
      <c r="C530" s="4" t="s">
        <v>178</v>
      </c>
      <c r="D530" s="7" t="s">
        <v>616</v>
      </c>
      <c r="E530" s="4" t="s">
        <v>78</v>
      </c>
      <c r="F530" s="9" t="s">
        <v>79</v>
      </c>
      <c r="G530" s="4">
        <v>527</v>
      </c>
      <c r="H530" s="4">
        <v>22</v>
      </c>
      <c r="I530" s="4" t="s">
        <v>934</v>
      </c>
      <c r="J530" s="4" t="str">
        <f t="shared" si="16"/>
        <v>6101080004</v>
      </c>
      <c r="K530" s="1" t="s">
        <v>12</v>
      </c>
      <c r="L530" s="4" t="s">
        <v>176</v>
      </c>
      <c r="M530" s="8" t="s">
        <v>901</v>
      </c>
      <c r="N530" s="4" t="str">
        <f t="shared" si="17"/>
        <v>('1526','RPT_009', 'LabaTrialBalance3rdSegment', '6101080004 - Beban Pakaian Dinas', 'Beban Usaha', 'Beban umum dan administrasi', '527', '22', 'AND ma.main_account_id IN (6101080004)', 'G', ' Beban Pegawai', 0, 0),</v>
      </c>
    </row>
    <row r="531" spans="1:14" ht="27" x14ac:dyDescent="0.3">
      <c r="A531" s="4">
        <v>1527</v>
      </c>
      <c r="B531" s="4" t="s">
        <v>177</v>
      </c>
      <c r="C531" s="4" t="s">
        <v>178</v>
      </c>
      <c r="D531" s="7" t="s">
        <v>617</v>
      </c>
      <c r="E531" s="4" t="s">
        <v>78</v>
      </c>
      <c r="F531" s="9" t="s">
        <v>79</v>
      </c>
      <c r="G531" s="4">
        <v>528</v>
      </c>
      <c r="H531" s="4">
        <v>23</v>
      </c>
      <c r="I531" s="4" t="s">
        <v>934</v>
      </c>
      <c r="J531" s="4" t="str">
        <f t="shared" si="16"/>
        <v>6101080005</v>
      </c>
      <c r="K531" s="1" t="s">
        <v>12</v>
      </c>
      <c r="L531" s="4" t="s">
        <v>176</v>
      </c>
      <c r="M531" s="8" t="s">
        <v>901</v>
      </c>
      <c r="N531" s="4" t="str">
        <f t="shared" si="17"/>
        <v>('1527','RPT_009', 'LabaTrialBalance3rdSegment', '6101080005 - Beban kesehatan non-asuransi - Pegawai', 'Beban Usaha', 'Beban umum dan administrasi', '528', '23', 'AND ma.main_account_id IN (6101080005)', 'G', ' Beban Pegawai', 0, 0),</v>
      </c>
    </row>
    <row r="532" spans="1:14" ht="27" x14ac:dyDescent="0.3">
      <c r="A532" s="4">
        <v>1528</v>
      </c>
      <c r="B532" s="4" t="s">
        <v>177</v>
      </c>
      <c r="C532" s="4" t="s">
        <v>178</v>
      </c>
      <c r="D532" s="7" t="s">
        <v>618</v>
      </c>
      <c r="E532" s="4" t="s">
        <v>78</v>
      </c>
      <c r="F532" s="9" t="s">
        <v>79</v>
      </c>
      <c r="G532" s="4">
        <v>529</v>
      </c>
      <c r="H532" s="4">
        <v>24</v>
      </c>
      <c r="I532" s="4" t="s">
        <v>934</v>
      </c>
      <c r="J532" s="4" t="str">
        <f t="shared" si="16"/>
        <v>6101080006</v>
      </c>
      <c r="K532" s="1" t="s">
        <v>12</v>
      </c>
      <c r="L532" s="4" t="s">
        <v>176</v>
      </c>
      <c r="M532" s="8" t="s">
        <v>901</v>
      </c>
      <c r="N532" s="4" t="str">
        <f t="shared" si="17"/>
        <v>('1528','RPT_009', 'LabaTrialBalance3rdSegment', '6101080006 - Beban asuransi kesehatan - pegawai', 'Beban Usaha', 'Beban umum dan administrasi', '529', '24', 'AND ma.main_account_id IN (6101080006)', 'G', ' Beban Pegawai', 0, 0),</v>
      </c>
    </row>
    <row r="533" spans="1:14" x14ac:dyDescent="0.3">
      <c r="A533" s="4">
        <v>1529</v>
      </c>
      <c r="B533" s="4" t="s">
        <v>177</v>
      </c>
      <c r="C533" s="4" t="s">
        <v>178</v>
      </c>
      <c r="D533" s="7" t="s">
        <v>619</v>
      </c>
      <c r="E533" s="4" t="s">
        <v>78</v>
      </c>
      <c r="F533" s="9" t="s">
        <v>79</v>
      </c>
      <c r="G533" s="4">
        <v>530</v>
      </c>
      <c r="H533" s="4">
        <v>25</v>
      </c>
      <c r="I533" s="4" t="s">
        <v>934</v>
      </c>
      <c r="J533" s="4" t="str">
        <f t="shared" si="16"/>
        <v>6101080007</v>
      </c>
      <c r="K533" s="1" t="s">
        <v>12</v>
      </c>
      <c r="L533" s="4" t="s">
        <v>176</v>
      </c>
      <c r="M533" s="8" t="s">
        <v>901</v>
      </c>
      <c r="N533" s="4" t="str">
        <f t="shared" si="17"/>
        <v>('1529','RPT_009', 'LabaTrialBalance3rdSegment', '6101080007 - Beban Tunjangan PPh 21', 'Beban Usaha', 'Beban umum dan administrasi', '530', '25', 'AND ma.main_account_id IN (6101080007)', 'G', ' Beban Pegawai', 0, 0),</v>
      </c>
    </row>
    <row r="534" spans="1:14" ht="26.4" x14ac:dyDescent="0.3">
      <c r="A534" s="4">
        <v>1530</v>
      </c>
      <c r="B534" s="4" t="s">
        <v>177</v>
      </c>
      <c r="C534" s="4" t="s">
        <v>178</v>
      </c>
      <c r="D534" s="5" t="s">
        <v>54</v>
      </c>
      <c r="E534" s="4" t="s">
        <v>78</v>
      </c>
      <c r="F534" s="9" t="s">
        <v>79</v>
      </c>
      <c r="G534" s="4">
        <v>531</v>
      </c>
      <c r="H534" s="4">
        <v>26</v>
      </c>
      <c r="I534" s="4" t="s">
        <v>934</v>
      </c>
      <c r="J534" s="4" t="str">
        <f t="shared" si="16"/>
        <v>6102000000</v>
      </c>
      <c r="K534" s="1" t="s">
        <v>12</v>
      </c>
      <c r="L534" s="4" t="s">
        <v>176</v>
      </c>
      <c r="M534" s="8" t="s">
        <v>902</v>
      </c>
      <c r="N534" s="4" t="str">
        <f t="shared" si="17"/>
        <v>('1530','RPT_009', 'LabaTrialBalance3rdSegment', '6102000000 -  Pemeliharaan dan perbaikan', 'Beban Usaha', 'Beban umum dan administrasi', '531', '26', 'AND ma.main_account_id IN (6102000000)', 'G', 'Pemeliharaan dan perbaikan', 0, 0),</v>
      </c>
    </row>
    <row r="535" spans="1:14" x14ac:dyDescent="0.3">
      <c r="A535" s="4">
        <v>1531</v>
      </c>
      <c r="B535" s="4" t="s">
        <v>177</v>
      </c>
      <c r="C535" s="4" t="s">
        <v>178</v>
      </c>
      <c r="D535" s="6" t="s">
        <v>620</v>
      </c>
      <c r="E535" s="4" t="s">
        <v>78</v>
      </c>
      <c r="F535" s="9" t="s">
        <v>79</v>
      </c>
      <c r="G535" s="4">
        <v>532</v>
      </c>
      <c r="H535" s="4">
        <v>27</v>
      </c>
      <c r="I535" s="4" t="s">
        <v>934</v>
      </c>
      <c r="J535" s="4" t="str">
        <f t="shared" si="16"/>
        <v>6102010000</v>
      </c>
      <c r="K535" s="1" t="s">
        <v>12</v>
      </c>
      <c r="L535" s="4" t="s">
        <v>176</v>
      </c>
      <c r="M535" s="8" t="s">
        <v>902</v>
      </c>
      <c r="N535" s="4" t="str">
        <f t="shared" si="17"/>
        <v>('1531','RPT_009', 'LabaTrialBalance3rdSegment', '6102010000 -  Tanah', 'Beban Usaha', 'Beban umum dan administrasi', '532', '27', 'AND ma.main_account_id IN (6102010000)', 'G', 'Pemeliharaan dan perbaikan', 0, 0),</v>
      </c>
    </row>
    <row r="536" spans="1:14" ht="27" x14ac:dyDescent="0.3">
      <c r="A536" s="4">
        <v>1532</v>
      </c>
      <c r="B536" s="4" t="s">
        <v>177</v>
      </c>
      <c r="C536" s="4" t="s">
        <v>178</v>
      </c>
      <c r="D536" s="7" t="s">
        <v>621</v>
      </c>
      <c r="E536" s="4" t="s">
        <v>78</v>
      </c>
      <c r="F536" s="9" t="s">
        <v>79</v>
      </c>
      <c r="G536" s="4">
        <v>533</v>
      </c>
      <c r="H536" s="4">
        <v>28</v>
      </c>
      <c r="I536" s="4" t="s">
        <v>934</v>
      </c>
      <c r="J536" s="4" t="str">
        <f t="shared" si="16"/>
        <v>6102010001</v>
      </c>
      <c r="K536" s="1" t="s">
        <v>12</v>
      </c>
      <c r="L536" s="4" t="s">
        <v>176</v>
      </c>
      <c r="M536" s="8" t="s">
        <v>902</v>
      </c>
      <c r="N536" s="4" t="str">
        <f t="shared" si="17"/>
        <v>('1532','RPT_009', 'LabaTrialBalance3rdSegment', '6102010001 - Beban Pemeliharaan dan Perbaikan Tanah', 'Beban Usaha', 'Beban umum dan administrasi', '533', '28', 'AND ma.main_account_id IN (6102010001)', 'G', 'Pemeliharaan dan perbaikan', 0, 0),</v>
      </c>
    </row>
    <row r="537" spans="1:14" x14ac:dyDescent="0.3">
      <c r="A537" s="4">
        <v>1533</v>
      </c>
      <c r="B537" s="4" t="s">
        <v>177</v>
      </c>
      <c r="C537" s="4" t="s">
        <v>178</v>
      </c>
      <c r="D537" s="6" t="s">
        <v>622</v>
      </c>
      <c r="E537" s="4" t="s">
        <v>78</v>
      </c>
      <c r="F537" s="9" t="s">
        <v>79</v>
      </c>
      <c r="G537" s="4">
        <v>534</v>
      </c>
      <c r="H537" s="4">
        <v>29</v>
      </c>
      <c r="I537" s="4" t="s">
        <v>934</v>
      </c>
      <c r="J537" s="4" t="str">
        <f t="shared" si="16"/>
        <v>6102020000</v>
      </c>
      <c r="K537" s="1" t="s">
        <v>12</v>
      </c>
      <c r="L537" s="4" t="s">
        <v>176</v>
      </c>
      <c r="M537" s="8" t="s">
        <v>902</v>
      </c>
      <c r="N537" s="4" t="str">
        <f t="shared" si="17"/>
        <v>('1533','RPT_009', 'LabaTrialBalance3rdSegment', '6102020000 -  Bangunan lapangan', 'Beban Usaha', 'Beban umum dan administrasi', '534', '29', 'AND ma.main_account_id IN (6102020000)', 'G', 'Pemeliharaan dan perbaikan', 0, 0),</v>
      </c>
    </row>
    <row r="538" spans="1:14" ht="27" x14ac:dyDescent="0.3">
      <c r="A538" s="4">
        <v>1534</v>
      </c>
      <c r="B538" s="4" t="s">
        <v>177</v>
      </c>
      <c r="C538" s="4" t="s">
        <v>178</v>
      </c>
      <c r="D538" s="7" t="s">
        <v>623</v>
      </c>
      <c r="E538" s="4" t="s">
        <v>78</v>
      </c>
      <c r="F538" s="9" t="s">
        <v>79</v>
      </c>
      <c r="G538" s="4">
        <v>535</v>
      </c>
      <c r="H538" s="4">
        <v>30</v>
      </c>
      <c r="I538" s="4" t="s">
        <v>934</v>
      </c>
      <c r="J538" s="4" t="str">
        <f t="shared" si="16"/>
        <v>6102020001</v>
      </c>
      <c r="K538" s="1" t="s">
        <v>12</v>
      </c>
      <c r="L538" s="4" t="s">
        <v>176</v>
      </c>
      <c r="M538" s="8" t="s">
        <v>902</v>
      </c>
      <c r="N538" s="4" t="str">
        <f t="shared" si="17"/>
        <v>('1534','RPT_009', 'LabaTrialBalance3rdSegment', '6102020001 - Beban Pemeliharaan dan Perbaikan Bangunan Lapangan', 'Beban Usaha', 'Beban umum dan administrasi', '535', '30', 'AND ma.main_account_id IN (6102020001)', 'G', 'Pemeliharaan dan perbaikan', 0, 0),</v>
      </c>
    </row>
    <row r="539" spans="1:14" x14ac:dyDescent="0.3">
      <c r="A539" s="4">
        <v>1535</v>
      </c>
      <c r="B539" s="4" t="s">
        <v>177</v>
      </c>
      <c r="C539" s="4" t="s">
        <v>178</v>
      </c>
      <c r="D539" s="6" t="s">
        <v>624</v>
      </c>
      <c r="E539" s="4" t="s">
        <v>78</v>
      </c>
      <c r="F539" s="9" t="s">
        <v>79</v>
      </c>
      <c r="G539" s="4">
        <v>536</v>
      </c>
      <c r="H539" s="4">
        <v>31</v>
      </c>
      <c r="I539" s="4" t="s">
        <v>934</v>
      </c>
      <c r="J539" s="4" t="str">
        <f t="shared" si="16"/>
        <v>6102030000</v>
      </c>
      <c r="K539" s="1" t="s">
        <v>12</v>
      </c>
      <c r="L539" s="4" t="s">
        <v>176</v>
      </c>
      <c r="M539" s="8" t="s">
        <v>902</v>
      </c>
      <c r="N539" s="4" t="str">
        <f t="shared" si="17"/>
        <v>('1535','RPT_009', 'LabaTrialBalance3rdSegment', '6102030000 -  Bangunan prasarana', 'Beban Usaha', 'Beban umum dan administrasi', '536', '31', 'AND ma.main_account_id IN (6102030000)', 'G', 'Pemeliharaan dan perbaikan', 0, 0),</v>
      </c>
    </row>
    <row r="540" spans="1:14" ht="27" x14ac:dyDescent="0.3">
      <c r="A540" s="4">
        <v>1536</v>
      </c>
      <c r="B540" s="4" t="s">
        <v>177</v>
      </c>
      <c r="C540" s="4" t="s">
        <v>178</v>
      </c>
      <c r="D540" s="7" t="s">
        <v>625</v>
      </c>
      <c r="E540" s="4" t="s">
        <v>78</v>
      </c>
      <c r="F540" s="9" t="s">
        <v>79</v>
      </c>
      <c r="G540" s="4">
        <v>537</v>
      </c>
      <c r="H540" s="4">
        <v>32</v>
      </c>
      <c r="I540" s="4" t="s">
        <v>934</v>
      </c>
      <c r="J540" s="4" t="str">
        <f t="shared" si="16"/>
        <v>6102030001</v>
      </c>
      <c r="K540" s="1" t="s">
        <v>12</v>
      </c>
      <c r="L540" s="4" t="s">
        <v>176</v>
      </c>
      <c r="M540" s="8" t="s">
        <v>902</v>
      </c>
      <c r="N540" s="4" t="str">
        <f t="shared" si="17"/>
        <v>('1536','RPT_009', 'LabaTrialBalance3rdSegment', '6102030001 - Beban Pemeliharaan dan Perbaikan Bangunan Prasarana', 'Beban Usaha', 'Beban umum dan administrasi', '537', '32', 'AND ma.main_account_id IN (6102030001)', 'G', 'Pemeliharaan dan perbaikan', 0, 0),</v>
      </c>
    </row>
    <row r="541" spans="1:14" x14ac:dyDescent="0.3">
      <c r="A541" s="4">
        <v>1537</v>
      </c>
      <c r="B541" s="4" t="s">
        <v>177</v>
      </c>
      <c r="C541" s="4" t="s">
        <v>178</v>
      </c>
      <c r="D541" s="6" t="s">
        <v>626</v>
      </c>
      <c r="E541" s="4" t="s">
        <v>78</v>
      </c>
      <c r="F541" s="9" t="s">
        <v>79</v>
      </c>
      <c r="G541" s="4">
        <v>538</v>
      </c>
      <c r="H541" s="4">
        <v>33</v>
      </c>
      <c r="I541" s="4" t="s">
        <v>934</v>
      </c>
      <c r="J541" s="4" t="str">
        <f t="shared" si="16"/>
        <v>6102040000</v>
      </c>
      <c r="K541" s="1" t="s">
        <v>12</v>
      </c>
      <c r="L541" s="4" t="s">
        <v>176</v>
      </c>
      <c r="M541" s="8" t="s">
        <v>902</v>
      </c>
      <c r="N541" s="4" t="str">
        <f t="shared" si="17"/>
        <v>('1537','RPT_009', 'LabaTrialBalance3rdSegment', '6102040000 -  Bangunan gedung', 'Beban Usaha', 'Beban umum dan administrasi', '538', '33', 'AND ma.main_account_id IN (6102040000)', 'G', 'Pemeliharaan dan perbaikan', 0, 0),</v>
      </c>
    </row>
    <row r="542" spans="1:14" ht="27" x14ac:dyDescent="0.3">
      <c r="A542" s="4">
        <v>1538</v>
      </c>
      <c r="B542" s="4" t="s">
        <v>177</v>
      </c>
      <c r="C542" s="4" t="s">
        <v>178</v>
      </c>
      <c r="D542" s="7" t="s">
        <v>627</v>
      </c>
      <c r="E542" s="4" t="s">
        <v>78</v>
      </c>
      <c r="F542" s="9" t="s">
        <v>79</v>
      </c>
      <c r="G542" s="4">
        <v>539</v>
      </c>
      <c r="H542" s="4">
        <v>34</v>
      </c>
      <c r="I542" s="4" t="s">
        <v>934</v>
      </c>
      <c r="J542" s="4" t="str">
        <f t="shared" si="16"/>
        <v>6102040001</v>
      </c>
      <c r="K542" s="1" t="s">
        <v>12</v>
      </c>
      <c r="L542" s="4" t="s">
        <v>176</v>
      </c>
      <c r="M542" s="8" t="s">
        <v>902</v>
      </c>
      <c r="N542" s="4" t="str">
        <f t="shared" si="17"/>
        <v>('1538','RPT_009', 'LabaTrialBalance3rdSegment', '6102040001 - Beban Pemeliharaan dan Perbaikan Bangunan Gedung', 'Beban Usaha', 'Beban umum dan administrasi', '539', '34', 'AND ma.main_account_id IN (6102040001)', 'G', 'Pemeliharaan dan perbaikan', 0, 0),</v>
      </c>
    </row>
    <row r="543" spans="1:14" x14ac:dyDescent="0.3">
      <c r="A543" s="4">
        <v>1539</v>
      </c>
      <c r="B543" s="4" t="s">
        <v>177</v>
      </c>
      <c r="C543" s="4" t="s">
        <v>178</v>
      </c>
      <c r="D543" s="6" t="s">
        <v>628</v>
      </c>
      <c r="E543" s="4" t="s">
        <v>78</v>
      </c>
      <c r="F543" s="9" t="s">
        <v>79</v>
      </c>
      <c r="G543" s="4">
        <v>540</v>
      </c>
      <c r="H543" s="4">
        <v>35</v>
      </c>
      <c r="I543" s="4" t="s">
        <v>934</v>
      </c>
      <c r="J543" s="4" t="str">
        <f t="shared" si="16"/>
        <v>6102050000</v>
      </c>
      <c r="K543" s="1" t="s">
        <v>12</v>
      </c>
      <c r="L543" s="4" t="s">
        <v>176</v>
      </c>
      <c r="M543" s="8" t="s">
        <v>902</v>
      </c>
      <c r="N543" s="4" t="str">
        <f t="shared" si="17"/>
        <v>('1539','RPT_009', 'LabaTrialBalance3rdSegment', '6102050000 -  Kendaraan Bermotor', 'Beban Usaha', 'Beban umum dan administrasi', '540', '35', 'AND ma.main_account_id IN (6102050000)', 'G', 'Pemeliharaan dan perbaikan', 0, 0),</v>
      </c>
    </row>
    <row r="544" spans="1:14" ht="27" x14ac:dyDescent="0.3">
      <c r="A544" s="4">
        <v>1540</v>
      </c>
      <c r="B544" s="4" t="s">
        <v>177</v>
      </c>
      <c r="C544" s="4" t="s">
        <v>178</v>
      </c>
      <c r="D544" s="7" t="s">
        <v>629</v>
      </c>
      <c r="E544" s="4" t="s">
        <v>78</v>
      </c>
      <c r="F544" s="9" t="s">
        <v>79</v>
      </c>
      <c r="G544" s="4">
        <v>541</v>
      </c>
      <c r="H544" s="4">
        <v>36</v>
      </c>
      <c r="I544" s="4" t="s">
        <v>934</v>
      </c>
      <c r="J544" s="4" t="str">
        <f t="shared" si="16"/>
        <v>6102050001</v>
      </c>
      <c r="K544" s="1" t="s">
        <v>12</v>
      </c>
      <c r="L544" s="4" t="s">
        <v>176</v>
      </c>
      <c r="M544" s="8" t="s">
        <v>902</v>
      </c>
      <c r="N544" s="4" t="str">
        <f t="shared" si="17"/>
        <v>('1540','RPT_009', 'LabaTrialBalance3rdSegment', '6102050001 - Beban Pemeliharaan dan Perbaikan Kendaraan Bermotor', 'Beban Usaha', 'Beban umum dan administrasi', '541', '36', 'AND ma.main_account_id IN (6102050001)', 'G', 'Pemeliharaan dan perbaikan', 0, 0),</v>
      </c>
    </row>
    <row r="545" spans="1:14" x14ac:dyDescent="0.3">
      <c r="A545" s="4">
        <v>1541</v>
      </c>
      <c r="B545" s="4" t="s">
        <v>177</v>
      </c>
      <c r="C545" s="4" t="s">
        <v>178</v>
      </c>
      <c r="D545" s="6" t="s">
        <v>630</v>
      </c>
      <c r="E545" s="4" t="s">
        <v>78</v>
      </c>
      <c r="F545" s="9" t="s">
        <v>79</v>
      </c>
      <c r="G545" s="4">
        <v>542</v>
      </c>
      <c r="H545" s="4">
        <v>37</v>
      </c>
      <c r="I545" s="4" t="s">
        <v>934</v>
      </c>
      <c r="J545" s="4" t="str">
        <f t="shared" si="16"/>
        <v>6102060000</v>
      </c>
      <c r="K545" s="1" t="s">
        <v>12</v>
      </c>
      <c r="L545" s="4" t="s">
        <v>176</v>
      </c>
      <c r="M545" s="8" t="s">
        <v>902</v>
      </c>
      <c r="N545" s="4" t="str">
        <f t="shared" si="17"/>
        <v>('1541','RPT_009', 'LabaTrialBalance3rdSegment', '6102060000 -  Instalasi dan jaringan', 'Beban Usaha', 'Beban umum dan administrasi', '542', '37', 'AND ma.main_account_id IN (6102060000)', 'G', 'Pemeliharaan dan perbaikan', 0, 0),</v>
      </c>
    </row>
    <row r="546" spans="1:14" ht="27" x14ac:dyDescent="0.3">
      <c r="A546" s="4">
        <v>1542</v>
      </c>
      <c r="B546" s="4" t="s">
        <v>177</v>
      </c>
      <c r="C546" s="4" t="s">
        <v>178</v>
      </c>
      <c r="D546" s="7" t="s">
        <v>631</v>
      </c>
      <c r="E546" s="4" t="s">
        <v>78</v>
      </c>
      <c r="F546" s="9" t="s">
        <v>79</v>
      </c>
      <c r="G546" s="4">
        <v>543</v>
      </c>
      <c r="H546" s="4">
        <v>38</v>
      </c>
      <c r="I546" s="4" t="s">
        <v>934</v>
      </c>
      <c r="J546" s="4" t="str">
        <f t="shared" si="16"/>
        <v>6102060001</v>
      </c>
      <c r="K546" s="1" t="s">
        <v>12</v>
      </c>
      <c r="L546" s="4" t="s">
        <v>176</v>
      </c>
      <c r="M546" s="8" t="s">
        <v>902</v>
      </c>
      <c r="N546" s="4" t="str">
        <f t="shared" si="17"/>
        <v>('1542','RPT_009', 'LabaTrialBalance3rdSegment', '6102060001 - Beban Pemeliharaan dan Perbaikan Instalasi dan Jaringan', 'Beban Usaha', 'Beban umum dan administrasi', '543', '38', 'AND ma.main_account_id IN (6102060001)', 'G', 'Pemeliharaan dan perbaikan', 0, 0),</v>
      </c>
    </row>
    <row r="547" spans="1:14" x14ac:dyDescent="0.3">
      <c r="A547" s="4">
        <v>1543</v>
      </c>
      <c r="B547" s="4" t="s">
        <v>177</v>
      </c>
      <c r="C547" s="4" t="s">
        <v>178</v>
      </c>
      <c r="D547" s="6" t="s">
        <v>632</v>
      </c>
      <c r="E547" s="4" t="s">
        <v>78</v>
      </c>
      <c r="F547" s="9" t="s">
        <v>79</v>
      </c>
      <c r="G547" s="4">
        <v>544</v>
      </c>
      <c r="H547" s="4">
        <v>39</v>
      </c>
      <c r="I547" s="4" t="s">
        <v>934</v>
      </c>
      <c r="J547" s="4" t="str">
        <f t="shared" si="16"/>
        <v>6102070000</v>
      </c>
      <c r="K547" s="1" t="s">
        <v>12</v>
      </c>
      <c r="L547" s="4" t="s">
        <v>176</v>
      </c>
      <c r="M547" s="8" t="s">
        <v>902</v>
      </c>
      <c r="N547" s="4" t="str">
        <f t="shared" si="17"/>
        <v>('1543','RPT_009', 'LabaTrialBalance3rdSegment', '6102070000 -  Mesin dan peralatan', 'Beban Usaha', 'Beban umum dan administrasi', '544', '39', 'AND ma.main_account_id IN (6102070000)', 'G', 'Pemeliharaan dan perbaikan', 0, 0),</v>
      </c>
    </row>
    <row r="548" spans="1:14" ht="27" x14ac:dyDescent="0.3">
      <c r="A548" s="4">
        <v>1544</v>
      </c>
      <c r="B548" s="4" t="s">
        <v>177</v>
      </c>
      <c r="C548" s="4" t="s">
        <v>178</v>
      </c>
      <c r="D548" s="7" t="s">
        <v>633</v>
      </c>
      <c r="E548" s="4" t="s">
        <v>78</v>
      </c>
      <c r="F548" s="9" t="s">
        <v>79</v>
      </c>
      <c r="G548" s="4">
        <v>545</v>
      </c>
      <c r="H548" s="4">
        <v>40</v>
      </c>
      <c r="I548" s="4" t="s">
        <v>934</v>
      </c>
      <c r="J548" s="4" t="str">
        <f t="shared" si="16"/>
        <v>6102070001</v>
      </c>
      <c r="K548" s="1" t="s">
        <v>12</v>
      </c>
      <c r="L548" s="4" t="s">
        <v>176</v>
      </c>
      <c r="M548" s="8" t="s">
        <v>902</v>
      </c>
      <c r="N548" s="4" t="str">
        <f t="shared" si="17"/>
        <v>('1544','RPT_009', 'LabaTrialBalance3rdSegment', '6102070001 - Beban Pemeliharaan dan Perbaikan Mesin dan Peralatan', 'Beban Usaha', 'Beban umum dan administrasi', '545', '40', 'AND ma.main_account_id IN (6102070001)', 'G', 'Pemeliharaan dan perbaikan', 0, 0),</v>
      </c>
    </row>
    <row r="549" spans="1:14" ht="27" x14ac:dyDescent="0.3">
      <c r="A549" s="4">
        <v>1545</v>
      </c>
      <c r="B549" s="4" t="s">
        <v>177</v>
      </c>
      <c r="C549" s="4" t="s">
        <v>178</v>
      </c>
      <c r="D549" s="6" t="s">
        <v>634</v>
      </c>
      <c r="E549" s="4" t="s">
        <v>78</v>
      </c>
      <c r="F549" s="9" t="s">
        <v>79</v>
      </c>
      <c r="G549" s="4">
        <v>546</v>
      </c>
      <c r="H549" s="4">
        <v>41</v>
      </c>
      <c r="I549" s="4" t="s">
        <v>934</v>
      </c>
      <c r="J549" s="4" t="str">
        <f t="shared" si="16"/>
        <v>6102080000</v>
      </c>
      <c r="K549" s="1" t="s">
        <v>12</v>
      </c>
      <c r="L549" s="4" t="s">
        <v>176</v>
      </c>
      <c r="M549" s="8" t="s">
        <v>902</v>
      </c>
      <c r="N549" s="4" t="str">
        <f t="shared" si="17"/>
        <v>('1545','RPT_009', 'LabaTrialBalance3rdSegment', '6102080000 -  Perabotan dan Perlengkapan', 'Beban Usaha', 'Beban umum dan administrasi', '546', '41', 'AND ma.main_account_id IN (6102080000)', 'G', 'Pemeliharaan dan perbaikan', 0, 0),</v>
      </c>
    </row>
    <row r="550" spans="1:14" ht="40.200000000000003" x14ac:dyDescent="0.3">
      <c r="A550" s="4">
        <v>1546</v>
      </c>
      <c r="B550" s="4" t="s">
        <v>177</v>
      </c>
      <c r="C550" s="4" t="s">
        <v>178</v>
      </c>
      <c r="D550" s="7" t="s">
        <v>635</v>
      </c>
      <c r="E550" s="4" t="s">
        <v>78</v>
      </c>
      <c r="F550" s="9" t="s">
        <v>79</v>
      </c>
      <c r="G550" s="4">
        <v>547</v>
      </c>
      <c r="H550" s="4">
        <v>42</v>
      </c>
      <c r="I550" s="4" t="s">
        <v>934</v>
      </c>
      <c r="J550" s="4" t="str">
        <f t="shared" si="16"/>
        <v>6102080001</v>
      </c>
      <c r="K550" s="1" t="s">
        <v>12</v>
      </c>
      <c r="L550" s="4" t="s">
        <v>176</v>
      </c>
      <c r="M550" s="8" t="s">
        <v>902</v>
      </c>
      <c r="N550" s="4" t="str">
        <f t="shared" si="17"/>
        <v>('1546','RPT_009', 'LabaTrialBalance3rdSegment', '6102080001 - Beban Pemeliharaan dan Perbaikan Perabotan dan Perlengkapan', 'Beban Usaha', 'Beban umum dan administrasi', '547', '42', 'AND ma.main_account_id IN (6102080001)', 'G', 'Pemeliharaan dan perbaikan', 0, 0),</v>
      </c>
    </row>
    <row r="551" spans="1:14" x14ac:dyDescent="0.3">
      <c r="A551" s="4">
        <v>1547</v>
      </c>
      <c r="B551" s="4" t="s">
        <v>177</v>
      </c>
      <c r="C551" s="4" t="s">
        <v>178</v>
      </c>
      <c r="D551" s="6" t="s">
        <v>636</v>
      </c>
      <c r="E551" s="4" t="s">
        <v>78</v>
      </c>
      <c r="F551" s="9" t="s">
        <v>79</v>
      </c>
      <c r="G551" s="4">
        <v>548</v>
      </c>
      <c r="H551" s="4">
        <v>43</v>
      </c>
      <c r="I551" s="4" t="s">
        <v>934</v>
      </c>
      <c r="J551" s="4" t="str">
        <f t="shared" si="16"/>
        <v>6102090000</v>
      </c>
      <c r="K551" s="1" t="s">
        <v>12</v>
      </c>
      <c r="L551" s="4" t="s">
        <v>176</v>
      </c>
      <c r="M551" s="8" t="s">
        <v>902</v>
      </c>
      <c r="N551" s="4" t="str">
        <f t="shared" si="17"/>
        <v>('1547','RPT_009', 'LabaTrialBalance3rdSegment', '6102090000 -  Aset tak berwujud', 'Beban Usaha', 'Beban umum dan administrasi', '548', '43', 'AND ma.main_account_id IN (6102090000)', 'G', 'Pemeliharaan dan perbaikan', 0, 0),</v>
      </c>
    </row>
    <row r="552" spans="1:14" ht="27" x14ac:dyDescent="0.3">
      <c r="A552" s="4">
        <v>1548</v>
      </c>
      <c r="B552" s="4" t="s">
        <v>177</v>
      </c>
      <c r="C552" s="4" t="s">
        <v>178</v>
      </c>
      <c r="D552" s="7" t="s">
        <v>637</v>
      </c>
      <c r="E552" s="4" t="s">
        <v>78</v>
      </c>
      <c r="F552" s="9" t="s">
        <v>79</v>
      </c>
      <c r="G552" s="4">
        <v>549</v>
      </c>
      <c r="H552" s="4">
        <v>44</v>
      </c>
      <c r="I552" s="4" t="s">
        <v>934</v>
      </c>
      <c r="J552" s="4" t="str">
        <f t="shared" si="16"/>
        <v>6102090001</v>
      </c>
      <c r="K552" s="1" t="s">
        <v>12</v>
      </c>
      <c r="L552" s="4" t="s">
        <v>176</v>
      </c>
      <c r="M552" s="8" t="s">
        <v>902</v>
      </c>
      <c r="N552" s="4" t="str">
        <f t="shared" si="17"/>
        <v>('1548','RPT_009', 'LabaTrialBalance3rdSegment', '6102090001 - Beban Pemeliharaan dan Perbaikan Aset tak berwujud', 'Beban Usaha', 'Beban umum dan administrasi', '549', '44', 'AND ma.main_account_id IN (6102090001)', 'G', 'Pemeliharaan dan perbaikan', 0, 0),</v>
      </c>
    </row>
    <row r="553" spans="1:14" x14ac:dyDescent="0.3">
      <c r="A553" s="4">
        <v>1549</v>
      </c>
      <c r="B553" s="4" t="s">
        <v>177</v>
      </c>
      <c r="C553" s="4" t="s">
        <v>178</v>
      </c>
      <c r="D553" s="5" t="s">
        <v>55</v>
      </c>
      <c r="E553" s="4" t="s">
        <v>78</v>
      </c>
      <c r="F553" s="9" t="s">
        <v>79</v>
      </c>
      <c r="G553" s="4">
        <v>550</v>
      </c>
      <c r="H553" s="4">
        <v>45</v>
      </c>
      <c r="I553" s="4" t="s">
        <v>934</v>
      </c>
      <c r="J553" s="4" t="str">
        <f t="shared" si="16"/>
        <v>6103000000</v>
      </c>
      <c r="K553" s="1" t="s">
        <v>12</v>
      </c>
      <c r="L553" s="4" t="s">
        <v>176</v>
      </c>
      <c r="M553" s="8" t="s">
        <v>903</v>
      </c>
      <c r="N553" s="4" t="str">
        <f t="shared" si="17"/>
        <v>('1549','RPT_009', 'LabaTrialBalance3rdSegment', '6103000000 -  Beban Utilitas', 'Beban Usaha', 'Beban umum dan administrasi', '550', '45', 'AND ma.main_account_id IN (6103000000)', 'G', 'Beban Utilitas', 0, 0),</v>
      </c>
    </row>
    <row r="554" spans="1:14" x14ac:dyDescent="0.3">
      <c r="A554" s="4">
        <v>1550</v>
      </c>
      <c r="B554" s="4" t="s">
        <v>177</v>
      </c>
      <c r="C554" s="4" t="s">
        <v>178</v>
      </c>
      <c r="D554" s="6" t="s">
        <v>638</v>
      </c>
      <c r="E554" s="4" t="s">
        <v>78</v>
      </c>
      <c r="F554" s="9" t="s">
        <v>79</v>
      </c>
      <c r="G554" s="4">
        <v>551</v>
      </c>
      <c r="H554" s="4">
        <v>46</v>
      </c>
      <c r="I554" s="4" t="s">
        <v>934</v>
      </c>
      <c r="J554" s="4" t="str">
        <f t="shared" si="16"/>
        <v>6103010000</v>
      </c>
      <c r="K554" s="1" t="s">
        <v>12</v>
      </c>
      <c r="L554" s="4" t="s">
        <v>176</v>
      </c>
      <c r="M554" s="8" t="s">
        <v>903</v>
      </c>
      <c r="N554" s="4" t="str">
        <f t="shared" si="17"/>
        <v>('1550','RPT_009', 'LabaTrialBalance3rdSegment', '6103010000 -  Air', 'Beban Usaha', 'Beban umum dan administrasi', '551', '46', 'AND ma.main_account_id IN (6103010000)', 'G', 'Beban Utilitas', 0, 0),</v>
      </c>
    </row>
    <row r="555" spans="1:14" x14ac:dyDescent="0.3">
      <c r="A555" s="4">
        <v>1551</v>
      </c>
      <c r="B555" s="4" t="s">
        <v>177</v>
      </c>
      <c r="C555" s="4" t="s">
        <v>178</v>
      </c>
      <c r="D555" s="7" t="s">
        <v>639</v>
      </c>
      <c r="E555" s="4" t="s">
        <v>78</v>
      </c>
      <c r="F555" s="9" t="s">
        <v>79</v>
      </c>
      <c r="G555" s="4">
        <v>552</v>
      </c>
      <c r="H555" s="4">
        <v>47</v>
      </c>
      <c r="I555" s="4" t="s">
        <v>934</v>
      </c>
      <c r="J555" s="4" t="str">
        <f t="shared" si="16"/>
        <v>6103010001</v>
      </c>
      <c r="K555" s="1" t="s">
        <v>12</v>
      </c>
      <c r="L555" s="4" t="s">
        <v>176</v>
      </c>
      <c r="M555" s="8" t="s">
        <v>903</v>
      </c>
      <c r="N555" s="4" t="str">
        <f t="shared" si="17"/>
        <v>('1551','RPT_009', 'LabaTrialBalance3rdSegment', '6103010001 - Beban Rekening Air', 'Beban Usaha', 'Beban umum dan administrasi', '552', '47', 'AND ma.main_account_id IN (6103010001)', 'G', 'Beban Utilitas', 0, 0),</v>
      </c>
    </row>
    <row r="556" spans="1:14" x14ac:dyDescent="0.3">
      <c r="A556" s="4">
        <v>1552</v>
      </c>
      <c r="B556" s="4" t="s">
        <v>177</v>
      </c>
      <c r="C556" s="4" t="s">
        <v>178</v>
      </c>
      <c r="D556" s="6" t="s">
        <v>640</v>
      </c>
      <c r="E556" s="4" t="s">
        <v>78</v>
      </c>
      <c r="F556" s="9" t="s">
        <v>79</v>
      </c>
      <c r="G556" s="4">
        <v>553</v>
      </c>
      <c r="H556" s="4">
        <v>48</v>
      </c>
      <c r="I556" s="4" t="s">
        <v>934</v>
      </c>
      <c r="J556" s="4" t="str">
        <f t="shared" si="16"/>
        <v>6103020000</v>
      </c>
      <c r="K556" s="1" t="s">
        <v>12</v>
      </c>
      <c r="L556" s="4" t="s">
        <v>176</v>
      </c>
      <c r="M556" s="8" t="s">
        <v>903</v>
      </c>
      <c r="N556" s="4" t="str">
        <f t="shared" si="17"/>
        <v>('1552','RPT_009', 'LabaTrialBalance3rdSegment', '6103020000 -  Listrik', 'Beban Usaha', 'Beban umum dan administrasi', '553', '48', 'AND ma.main_account_id IN (6103020000)', 'G', 'Beban Utilitas', 0, 0),</v>
      </c>
    </row>
    <row r="557" spans="1:14" x14ac:dyDescent="0.3">
      <c r="A557" s="4">
        <v>1553</v>
      </c>
      <c r="B557" s="4" t="s">
        <v>177</v>
      </c>
      <c r="C557" s="4" t="s">
        <v>178</v>
      </c>
      <c r="D557" s="7" t="s">
        <v>641</v>
      </c>
      <c r="E557" s="4" t="s">
        <v>78</v>
      </c>
      <c r="F557" s="9" t="s">
        <v>79</v>
      </c>
      <c r="G557" s="4">
        <v>554</v>
      </c>
      <c r="H557" s="4">
        <v>49</v>
      </c>
      <c r="I557" s="4" t="s">
        <v>934</v>
      </c>
      <c r="J557" s="4" t="str">
        <f t="shared" si="16"/>
        <v>6103020001</v>
      </c>
      <c r="K557" s="1" t="s">
        <v>12</v>
      </c>
      <c r="L557" s="4" t="s">
        <v>176</v>
      </c>
      <c r="M557" s="8" t="s">
        <v>903</v>
      </c>
      <c r="N557" s="4" t="str">
        <f t="shared" si="17"/>
        <v>('1553','RPT_009', 'LabaTrialBalance3rdSegment', '6103020001 - Beban Rekening Listrik', 'Beban Usaha', 'Beban umum dan administrasi', '554', '49', 'AND ma.main_account_id IN (6103020001)', 'G', 'Beban Utilitas', 0, 0),</v>
      </c>
    </row>
    <row r="558" spans="1:14" x14ac:dyDescent="0.3">
      <c r="A558" s="4">
        <v>1554</v>
      </c>
      <c r="B558" s="4" t="s">
        <v>177</v>
      </c>
      <c r="C558" s="4" t="s">
        <v>178</v>
      </c>
      <c r="D558" s="6" t="s">
        <v>642</v>
      </c>
      <c r="E558" s="4" t="s">
        <v>78</v>
      </c>
      <c r="F558" s="9" t="s">
        <v>79</v>
      </c>
      <c r="G558" s="4">
        <v>555</v>
      </c>
      <c r="H558" s="4">
        <v>50</v>
      </c>
      <c r="I558" s="4" t="s">
        <v>934</v>
      </c>
      <c r="J558" s="4" t="str">
        <f t="shared" si="16"/>
        <v>6103030000</v>
      </c>
      <c r="K558" s="1" t="s">
        <v>12</v>
      </c>
      <c r="L558" s="4" t="s">
        <v>176</v>
      </c>
      <c r="M558" s="8" t="s">
        <v>903</v>
      </c>
      <c r="N558" s="4" t="str">
        <f t="shared" si="17"/>
        <v>('1554','RPT_009', 'LabaTrialBalance3rdSegment', '6103030000 -  Telepon dan Internet', 'Beban Usaha', 'Beban umum dan administrasi', '555', '50', 'AND ma.main_account_id IN (6103030000)', 'G', 'Beban Utilitas', 0, 0),</v>
      </c>
    </row>
    <row r="559" spans="1:14" ht="27" x14ac:dyDescent="0.3">
      <c r="A559" s="4">
        <v>1555</v>
      </c>
      <c r="B559" s="4" t="s">
        <v>177</v>
      </c>
      <c r="C559" s="4" t="s">
        <v>178</v>
      </c>
      <c r="D559" s="7" t="s">
        <v>643</v>
      </c>
      <c r="E559" s="4" t="s">
        <v>78</v>
      </c>
      <c r="F559" s="9" t="s">
        <v>79</v>
      </c>
      <c r="G559" s="4">
        <v>556</v>
      </c>
      <c r="H559" s="4">
        <v>51</v>
      </c>
      <c r="I559" s="4" t="s">
        <v>934</v>
      </c>
      <c r="J559" s="4" t="str">
        <f t="shared" si="16"/>
        <v>6103030001</v>
      </c>
      <c r="K559" s="1" t="s">
        <v>12</v>
      </c>
      <c r="L559" s="4" t="s">
        <v>176</v>
      </c>
      <c r="M559" s="8" t="s">
        <v>903</v>
      </c>
      <c r="N559" s="4" t="str">
        <f t="shared" si="17"/>
        <v>('1555','RPT_009', 'LabaTrialBalance3rdSegment', '6103030001 - Beban Internet, Telepon, dan Telex', 'Beban Usaha', 'Beban umum dan administrasi', '556', '51', 'AND ma.main_account_id IN (6103030001)', 'G', 'Beban Utilitas', 0, 0),</v>
      </c>
    </row>
    <row r="560" spans="1:14" x14ac:dyDescent="0.3">
      <c r="A560" s="4">
        <v>1556</v>
      </c>
      <c r="B560" s="4" t="s">
        <v>177</v>
      </c>
      <c r="C560" s="4" t="s">
        <v>178</v>
      </c>
      <c r="D560" s="6" t="s">
        <v>644</v>
      </c>
      <c r="E560" s="4" t="s">
        <v>78</v>
      </c>
      <c r="F560" s="9" t="s">
        <v>79</v>
      </c>
      <c r="G560" s="4">
        <v>557</v>
      </c>
      <c r="H560" s="4">
        <v>52</v>
      </c>
      <c r="I560" s="4" t="s">
        <v>934</v>
      </c>
      <c r="J560" s="4" t="str">
        <f t="shared" si="16"/>
        <v>6103040000</v>
      </c>
      <c r="K560" s="1" t="s">
        <v>12</v>
      </c>
      <c r="L560" s="4" t="s">
        <v>176</v>
      </c>
      <c r="M560" s="8" t="s">
        <v>903</v>
      </c>
      <c r="N560" s="4" t="str">
        <f t="shared" si="17"/>
        <v>('1556','RPT_009', 'LabaTrialBalance3rdSegment', '6103040000 -  Utilitas lainnya', 'Beban Usaha', 'Beban umum dan administrasi', '557', '52', 'AND ma.main_account_id IN (6103040000)', 'G', 'Beban Utilitas', 0, 0),</v>
      </c>
    </row>
    <row r="561" spans="1:14" x14ac:dyDescent="0.3">
      <c r="A561" s="4">
        <v>1557</v>
      </c>
      <c r="B561" s="4" t="s">
        <v>177</v>
      </c>
      <c r="C561" s="4" t="s">
        <v>178</v>
      </c>
      <c r="D561" s="7" t="s">
        <v>645</v>
      </c>
      <c r="E561" s="4" t="s">
        <v>78</v>
      </c>
      <c r="F561" s="9" t="s">
        <v>79</v>
      </c>
      <c r="G561" s="4">
        <v>558</v>
      </c>
      <c r="H561" s="4">
        <v>53</v>
      </c>
      <c r="I561" s="4" t="s">
        <v>934</v>
      </c>
      <c r="J561" s="4" t="str">
        <f t="shared" si="16"/>
        <v>6103040001</v>
      </c>
      <c r="K561" s="1" t="s">
        <v>12</v>
      </c>
      <c r="L561" s="4" t="s">
        <v>176</v>
      </c>
      <c r="M561" s="8" t="s">
        <v>903</v>
      </c>
      <c r="N561" s="4" t="str">
        <f t="shared" si="17"/>
        <v>('1557','RPT_009', 'LabaTrialBalance3rdSegment', '6103040001 - Beban Utilitas Lainnya', 'Beban Usaha', 'Beban umum dan administrasi', '558', '53', 'AND ma.main_account_id IN (6103040001)', 'G', 'Beban Utilitas', 0, 0),</v>
      </c>
    </row>
    <row r="562" spans="1:14" x14ac:dyDescent="0.3">
      <c r="A562" s="4">
        <v>1558</v>
      </c>
      <c r="B562" s="4" t="s">
        <v>177</v>
      </c>
      <c r="C562" s="4" t="s">
        <v>178</v>
      </c>
      <c r="D562" s="5" t="s">
        <v>56</v>
      </c>
      <c r="E562" s="4" t="s">
        <v>78</v>
      </c>
      <c r="F562" s="9" t="s">
        <v>79</v>
      </c>
      <c r="G562" s="4">
        <v>559</v>
      </c>
      <c r="H562" s="4">
        <v>54</v>
      </c>
      <c r="I562" s="4" t="s">
        <v>934</v>
      </c>
      <c r="J562" s="4" t="str">
        <f t="shared" si="16"/>
        <v>6104000000</v>
      </c>
      <c r="K562" s="1" t="s">
        <v>12</v>
      </c>
      <c r="L562" s="4" t="s">
        <v>176</v>
      </c>
      <c r="M562" s="8" t="s">
        <v>904</v>
      </c>
      <c r="N562" s="4" t="str">
        <f t="shared" si="17"/>
        <v>('1558','RPT_009', 'LabaTrialBalance3rdSegment', '6104000000 -  Sewa', 'Beban Usaha', 'Beban umum dan administrasi', '559', '54', 'AND ma.main_account_id IN (6104000000)', 'G', ' Sewa', 0, 0),</v>
      </c>
    </row>
    <row r="563" spans="1:14" x14ac:dyDescent="0.3">
      <c r="A563" s="4">
        <v>1559</v>
      </c>
      <c r="B563" s="4" t="s">
        <v>177</v>
      </c>
      <c r="C563" s="4" t="s">
        <v>178</v>
      </c>
      <c r="D563" s="6" t="s">
        <v>646</v>
      </c>
      <c r="E563" s="4" t="s">
        <v>78</v>
      </c>
      <c r="F563" s="9" t="s">
        <v>79</v>
      </c>
      <c r="G563" s="4">
        <v>560</v>
      </c>
      <c r="H563" s="4">
        <v>55</v>
      </c>
      <c r="I563" s="4" t="s">
        <v>934</v>
      </c>
      <c r="J563" s="4" t="str">
        <f t="shared" si="16"/>
        <v>6104010000</v>
      </c>
      <c r="K563" s="1" t="s">
        <v>12</v>
      </c>
      <c r="L563" s="4" t="s">
        <v>176</v>
      </c>
      <c r="M563" s="8" t="s">
        <v>904</v>
      </c>
      <c r="N563" s="4" t="str">
        <f t="shared" si="17"/>
        <v>('1559','RPT_009', 'LabaTrialBalance3rdSegment', '6104010000 -  Sewa Tanah', 'Beban Usaha', 'Beban umum dan administrasi', '560', '55', 'AND ma.main_account_id IN (6104010000)', 'G', ' Sewa', 0, 0),</v>
      </c>
    </row>
    <row r="564" spans="1:14" x14ac:dyDescent="0.3">
      <c r="A564" s="4">
        <v>1560</v>
      </c>
      <c r="B564" s="4" t="s">
        <v>177</v>
      </c>
      <c r="C564" s="4" t="s">
        <v>178</v>
      </c>
      <c r="D564" s="7" t="s">
        <v>647</v>
      </c>
      <c r="E564" s="4" t="s">
        <v>78</v>
      </c>
      <c r="F564" s="9" t="s">
        <v>79</v>
      </c>
      <c r="G564" s="4">
        <v>561</v>
      </c>
      <c r="H564" s="4">
        <v>56</v>
      </c>
      <c r="I564" s="4" t="s">
        <v>934</v>
      </c>
      <c r="J564" s="4" t="str">
        <f t="shared" si="16"/>
        <v>6104010001</v>
      </c>
      <c r="K564" s="1" t="s">
        <v>12</v>
      </c>
      <c r="L564" s="4" t="s">
        <v>176</v>
      </c>
      <c r="M564" s="8" t="s">
        <v>904</v>
      </c>
      <c r="N564" s="4" t="str">
        <f t="shared" si="17"/>
        <v>('1560','RPT_009', 'LabaTrialBalance3rdSegment', '6104010001 - Beban Sewa Tanah', 'Beban Usaha', 'Beban umum dan administrasi', '561', '56', 'AND ma.main_account_id IN (6104010001)', 'G', ' Sewa', 0, 0),</v>
      </c>
    </row>
    <row r="565" spans="1:14" x14ac:dyDescent="0.3">
      <c r="A565" s="4">
        <v>1561</v>
      </c>
      <c r="B565" s="4" t="s">
        <v>177</v>
      </c>
      <c r="C565" s="4" t="s">
        <v>178</v>
      </c>
      <c r="D565" s="6" t="s">
        <v>648</v>
      </c>
      <c r="E565" s="4" t="s">
        <v>78</v>
      </c>
      <c r="F565" s="9" t="s">
        <v>79</v>
      </c>
      <c r="G565" s="4">
        <v>562</v>
      </c>
      <c r="H565" s="4">
        <v>57</v>
      </c>
      <c r="I565" s="4" t="s">
        <v>934</v>
      </c>
      <c r="J565" s="4" t="str">
        <f t="shared" si="16"/>
        <v>6104020000</v>
      </c>
      <c r="K565" s="1" t="s">
        <v>12</v>
      </c>
      <c r="L565" s="4" t="s">
        <v>176</v>
      </c>
      <c r="M565" s="8" t="s">
        <v>904</v>
      </c>
      <c r="N565" s="4" t="str">
        <f t="shared" si="17"/>
        <v>('1561','RPT_009', 'LabaTrialBalance3rdSegment', '6104020000 -  Sewa Bangunan', 'Beban Usaha', 'Beban umum dan administrasi', '562', '57', 'AND ma.main_account_id IN (6104020000)', 'G', ' Sewa', 0, 0),</v>
      </c>
    </row>
    <row r="566" spans="1:14" ht="27" x14ac:dyDescent="0.3">
      <c r="A566" s="4">
        <v>1562</v>
      </c>
      <c r="B566" s="4" t="s">
        <v>177</v>
      </c>
      <c r="C566" s="4" t="s">
        <v>178</v>
      </c>
      <c r="D566" s="7" t="s">
        <v>649</v>
      </c>
      <c r="E566" s="4" t="s">
        <v>78</v>
      </c>
      <c r="F566" s="9" t="s">
        <v>79</v>
      </c>
      <c r="G566" s="4">
        <v>563</v>
      </c>
      <c r="H566" s="4">
        <v>58</v>
      </c>
      <c r="I566" s="4" t="s">
        <v>934</v>
      </c>
      <c r="J566" s="4" t="str">
        <f t="shared" si="16"/>
        <v>6104020001</v>
      </c>
      <c r="K566" s="1" t="s">
        <v>12</v>
      </c>
      <c r="L566" s="4" t="s">
        <v>176</v>
      </c>
      <c r="M566" s="8" t="s">
        <v>904</v>
      </c>
      <c r="N566" s="4" t="str">
        <f t="shared" si="17"/>
        <v>('1562','RPT_009', 'LabaTrialBalance3rdSegment', '6104020001 - Beban Sewa Bangunan Gedung', 'Beban Usaha', 'Beban umum dan administrasi', '563', '58', 'AND ma.main_account_id IN (6104020001)', 'G', ' Sewa', 0, 0),</v>
      </c>
    </row>
    <row r="567" spans="1:14" ht="27" x14ac:dyDescent="0.3">
      <c r="A567" s="4">
        <v>1563</v>
      </c>
      <c r="B567" s="4" t="s">
        <v>177</v>
      </c>
      <c r="C567" s="4" t="s">
        <v>178</v>
      </c>
      <c r="D567" s="6" t="s">
        <v>650</v>
      </c>
      <c r="E567" s="4" t="s">
        <v>78</v>
      </c>
      <c r="F567" s="9" t="s">
        <v>79</v>
      </c>
      <c r="G567" s="4">
        <v>564</v>
      </c>
      <c r="H567" s="4">
        <v>59</v>
      </c>
      <c r="I567" s="4" t="s">
        <v>934</v>
      </c>
      <c r="J567" s="4" t="str">
        <f t="shared" si="16"/>
        <v>6104030000</v>
      </c>
      <c r="K567" s="1" t="s">
        <v>12</v>
      </c>
      <c r="L567" s="4" t="s">
        <v>176</v>
      </c>
      <c r="M567" s="8" t="s">
        <v>904</v>
      </c>
      <c r="N567" s="4" t="str">
        <f t="shared" si="17"/>
        <v>('1563','RPT_009', 'LabaTrialBalance3rdSegment', '6104030000 -  Sewa Perabotan dan Perlengkapan', 'Beban Usaha', 'Beban umum dan administrasi', '564', '59', 'AND ma.main_account_id IN (6104030000)', 'G', ' Sewa', 0, 0),</v>
      </c>
    </row>
    <row r="568" spans="1:14" ht="27" x14ac:dyDescent="0.3">
      <c r="A568" s="4">
        <v>1564</v>
      </c>
      <c r="B568" s="4" t="s">
        <v>177</v>
      </c>
      <c r="C568" s="4" t="s">
        <v>178</v>
      </c>
      <c r="D568" s="7" t="s">
        <v>651</v>
      </c>
      <c r="E568" s="4" t="s">
        <v>78</v>
      </c>
      <c r="F568" s="9" t="s">
        <v>79</v>
      </c>
      <c r="G568" s="4">
        <v>565</v>
      </c>
      <c r="H568" s="4">
        <v>60</v>
      </c>
      <c r="I568" s="4" t="s">
        <v>934</v>
      </c>
      <c r="J568" s="4" t="str">
        <f t="shared" si="16"/>
        <v>6104030001</v>
      </c>
      <c r="K568" s="1" t="s">
        <v>12</v>
      </c>
      <c r="L568" s="4" t="s">
        <v>176</v>
      </c>
      <c r="M568" s="8" t="s">
        <v>904</v>
      </c>
      <c r="N568" s="4" t="str">
        <f t="shared" si="17"/>
        <v>('1564','RPT_009', 'LabaTrialBalance3rdSegment', '6104030001 - Beban Sewa Perabotan dan Perlengkapan', 'Beban Usaha', 'Beban umum dan administrasi', '565', '60', 'AND ma.main_account_id IN (6104030001)', 'G', ' Sewa', 0, 0),</v>
      </c>
    </row>
    <row r="569" spans="1:14" x14ac:dyDescent="0.3">
      <c r="A569" s="4">
        <v>1565</v>
      </c>
      <c r="B569" s="4" t="s">
        <v>177</v>
      </c>
      <c r="C569" s="4" t="s">
        <v>178</v>
      </c>
      <c r="D569" s="6" t="s">
        <v>652</v>
      </c>
      <c r="E569" s="4" t="s">
        <v>78</v>
      </c>
      <c r="F569" s="9" t="s">
        <v>79</v>
      </c>
      <c r="G569" s="4">
        <v>566</v>
      </c>
      <c r="H569" s="4">
        <v>61</v>
      </c>
      <c r="I569" s="4" t="s">
        <v>934</v>
      </c>
      <c r="J569" s="4" t="str">
        <f t="shared" si="16"/>
        <v>6104040000</v>
      </c>
      <c r="K569" s="1" t="s">
        <v>12</v>
      </c>
      <c r="L569" s="4" t="s">
        <v>176</v>
      </c>
      <c r="M569" s="8" t="s">
        <v>904</v>
      </c>
      <c r="N569" s="4" t="str">
        <f t="shared" si="17"/>
        <v>('1565','RPT_009', 'LabaTrialBalance3rdSegment', '6104040000 -  Sewa Kendaraan', 'Beban Usaha', 'Beban umum dan administrasi', '566', '61', 'AND ma.main_account_id IN (6104040000)', 'G', ' Sewa', 0, 0),</v>
      </c>
    </row>
    <row r="570" spans="1:14" ht="27" x14ac:dyDescent="0.3">
      <c r="A570" s="4">
        <v>1566</v>
      </c>
      <c r="B570" s="4" t="s">
        <v>177</v>
      </c>
      <c r="C570" s="4" t="s">
        <v>178</v>
      </c>
      <c r="D570" s="7" t="s">
        <v>653</v>
      </c>
      <c r="E570" s="4" t="s">
        <v>78</v>
      </c>
      <c r="F570" s="9" t="s">
        <v>79</v>
      </c>
      <c r="G570" s="4">
        <v>567</v>
      </c>
      <c r="H570" s="4">
        <v>62</v>
      </c>
      <c r="I570" s="4" t="s">
        <v>934</v>
      </c>
      <c r="J570" s="4" t="str">
        <f t="shared" si="16"/>
        <v>6104040001</v>
      </c>
      <c r="K570" s="1" t="s">
        <v>12</v>
      </c>
      <c r="L570" s="4" t="s">
        <v>176</v>
      </c>
      <c r="M570" s="8" t="s">
        <v>904</v>
      </c>
      <c r="N570" s="4" t="str">
        <f t="shared" si="17"/>
        <v>('1566','RPT_009', 'LabaTrialBalance3rdSegment', '6104040001 - Beban Sewa Kendaraan Bermotor', 'Beban Usaha', 'Beban umum dan administrasi', '567', '62', 'AND ma.main_account_id IN (6104040001)', 'G', ' Sewa', 0, 0),</v>
      </c>
    </row>
    <row r="571" spans="1:14" x14ac:dyDescent="0.3">
      <c r="A571" s="4">
        <v>1567</v>
      </c>
      <c r="B571" s="4" t="s">
        <v>177</v>
      </c>
      <c r="C571" s="4" t="s">
        <v>178</v>
      </c>
      <c r="D571" s="6" t="s">
        <v>654</v>
      </c>
      <c r="E571" s="4" t="s">
        <v>78</v>
      </c>
      <c r="F571" s="9" t="s">
        <v>79</v>
      </c>
      <c r="G571" s="4">
        <v>568</v>
      </c>
      <c r="H571" s="4">
        <v>63</v>
      </c>
      <c r="I571" s="4" t="s">
        <v>934</v>
      </c>
      <c r="J571" s="4" t="str">
        <f t="shared" si="16"/>
        <v>6104050000</v>
      </c>
      <c r="K571" s="1" t="s">
        <v>12</v>
      </c>
      <c r="L571" s="4" t="s">
        <v>176</v>
      </c>
      <c r="M571" s="8" t="s">
        <v>904</v>
      </c>
      <c r="N571" s="4" t="str">
        <f t="shared" si="17"/>
        <v>('1567','RPT_009', 'LabaTrialBalance3rdSegment', '6104050000 -  Sewa Mesin dan Peralatan', 'Beban Usaha', 'Beban umum dan administrasi', '568', '63', 'AND ma.main_account_id IN (6104050000)', 'G', ' Sewa', 0, 0),</v>
      </c>
    </row>
    <row r="572" spans="1:14" ht="27" x14ac:dyDescent="0.3">
      <c r="A572" s="4">
        <v>1568</v>
      </c>
      <c r="B572" s="4" t="s">
        <v>177</v>
      </c>
      <c r="C572" s="4" t="s">
        <v>178</v>
      </c>
      <c r="D572" s="7" t="s">
        <v>655</v>
      </c>
      <c r="E572" s="4" t="s">
        <v>78</v>
      </c>
      <c r="F572" s="9" t="s">
        <v>79</v>
      </c>
      <c r="G572" s="4">
        <v>569</v>
      </c>
      <c r="H572" s="4">
        <v>64</v>
      </c>
      <c r="I572" s="4" t="s">
        <v>934</v>
      </c>
      <c r="J572" s="4" t="str">
        <f t="shared" si="16"/>
        <v>6104050001</v>
      </c>
      <c r="K572" s="1" t="s">
        <v>12</v>
      </c>
      <c r="L572" s="4" t="s">
        <v>176</v>
      </c>
      <c r="M572" s="8" t="s">
        <v>904</v>
      </c>
      <c r="N572" s="4" t="str">
        <f t="shared" si="17"/>
        <v>('1568','RPT_009', 'LabaTrialBalance3rdSegment', '6104050001 - Beban Sewa Mesin dan Peralatan', 'Beban Usaha', 'Beban umum dan administrasi', '569', '64', 'AND ma.main_account_id IN (6104050001)', 'G', ' Sewa', 0, 0),</v>
      </c>
    </row>
    <row r="573" spans="1:14" x14ac:dyDescent="0.3">
      <c r="A573" s="4">
        <v>1569</v>
      </c>
      <c r="B573" s="4" t="s">
        <v>177</v>
      </c>
      <c r="C573" s="4" t="s">
        <v>178</v>
      </c>
      <c r="D573" s="5" t="s">
        <v>57</v>
      </c>
      <c r="E573" s="4" t="s">
        <v>78</v>
      </c>
      <c r="F573" s="9" t="s">
        <v>79</v>
      </c>
      <c r="G573" s="4">
        <v>570</v>
      </c>
      <c r="H573" s="4">
        <v>65</v>
      </c>
      <c r="I573" s="4" t="s">
        <v>934</v>
      </c>
      <c r="J573" s="4" t="str">
        <f t="shared" si="16"/>
        <v>6105000000</v>
      </c>
      <c r="K573" s="1" t="s">
        <v>12</v>
      </c>
      <c r="L573" s="4" t="s">
        <v>176</v>
      </c>
      <c r="M573" s="8" t="s">
        <v>905</v>
      </c>
      <c r="N573" s="4" t="str">
        <f t="shared" si="17"/>
        <v>('1569','RPT_009', 'LabaTrialBalance3rdSegment', '6105000000 -  Depresiasi dan amortisasi', 'Beban Usaha', 'Beban umum dan administrasi', '570', '65', 'AND ma.main_account_id IN (6105000000)', 'G', 'Depresiasi dan amortisasi', 0, 0),</v>
      </c>
    </row>
    <row r="574" spans="1:14" x14ac:dyDescent="0.3">
      <c r="A574" s="4">
        <v>1570</v>
      </c>
      <c r="B574" s="4" t="s">
        <v>177</v>
      </c>
      <c r="C574" s="4" t="s">
        <v>178</v>
      </c>
      <c r="D574" s="6" t="s">
        <v>656</v>
      </c>
      <c r="E574" s="4" t="s">
        <v>78</v>
      </c>
      <c r="F574" s="9" t="s">
        <v>79</v>
      </c>
      <c r="G574" s="4">
        <v>571</v>
      </c>
      <c r="H574" s="4">
        <v>66</v>
      </c>
      <c r="I574" s="4" t="s">
        <v>934</v>
      </c>
      <c r="J574" s="4" t="str">
        <f t="shared" si="16"/>
        <v>6105020000</v>
      </c>
      <c r="K574" s="1" t="s">
        <v>12</v>
      </c>
      <c r="L574" s="4" t="s">
        <v>176</v>
      </c>
      <c r="M574" s="8" t="s">
        <v>905</v>
      </c>
      <c r="N574" s="4" t="str">
        <f t="shared" si="17"/>
        <v>('1570','RPT_009', 'LabaTrialBalance3rdSegment', '6105020000 -  Depresiasi aset tetap', 'Beban Usaha', 'Beban umum dan administrasi', '571', '66', 'AND ma.main_account_id IN (6105020000)', 'G', 'Depresiasi dan amortisasi', 0, 0),</v>
      </c>
    </row>
    <row r="575" spans="1:14" ht="27" x14ac:dyDescent="0.3">
      <c r="A575" s="4">
        <v>1571</v>
      </c>
      <c r="B575" s="4" t="s">
        <v>177</v>
      </c>
      <c r="C575" s="4" t="s">
        <v>178</v>
      </c>
      <c r="D575" s="7" t="s">
        <v>657</v>
      </c>
      <c r="E575" s="4" t="s">
        <v>78</v>
      </c>
      <c r="F575" s="9" t="s">
        <v>79</v>
      </c>
      <c r="G575" s="4">
        <v>572</v>
      </c>
      <c r="H575" s="4">
        <v>67</v>
      </c>
      <c r="I575" s="4" t="s">
        <v>934</v>
      </c>
      <c r="J575" s="4" t="str">
        <f t="shared" si="16"/>
        <v>6105020002</v>
      </c>
      <c r="K575" s="1" t="s">
        <v>12</v>
      </c>
      <c r="L575" s="4" t="s">
        <v>176</v>
      </c>
      <c r="M575" s="8" t="s">
        <v>905</v>
      </c>
      <c r="N575" s="4" t="str">
        <f t="shared" si="17"/>
        <v>('1571','RPT_009', 'LabaTrialBalance3rdSegment', '6105020002 - Beban Depresiasi - Bangunan Prasarana', 'Beban Usaha', 'Beban umum dan administrasi', '572', '67', 'AND ma.main_account_id IN (6105020002)', 'G', 'Depresiasi dan amortisasi', 0, 0),</v>
      </c>
    </row>
    <row r="576" spans="1:14" ht="27" x14ac:dyDescent="0.3">
      <c r="A576" s="4">
        <v>1572</v>
      </c>
      <c r="B576" s="4" t="s">
        <v>177</v>
      </c>
      <c r="C576" s="4" t="s">
        <v>178</v>
      </c>
      <c r="D576" s="7" t="s">
        <v>658</v>
      </c>
      <c r="E576" s="4" t="s">
        <v>78</v>
      </c>
      <c r="F576" s="9" t="s">
        <v>79</v>
      </c>
      <c r="G576" s="4">
        <v>573</v>
      </c>
      <c r="H576" s="4">
        <v>68</v>
      </c>
      <c r="I576" s="4" t="s">
        <v>934</v>
      </c>
      <c r="J576" s="4" t="str">
        <f t="shared" si="16"/>
        <v>6105020003</v>
      </c>
      <c r="K576" s="1" t="s">
        <v>12</v>
      </c>
      <c r="L576" s="4" t="s">
        <v>176</v>
      </c>
      <c r="M576" s="8" t="s">
        <v>905</v>
      </c>
      <c r="N576" s="4" t="str">
        <f t="shared" si="17"/>
        <v>('1572','RPT_009', 'LabaTrialBalance3rdSegment', '6105020003 - Beban Depresiasi - Bangunan Gedung', 'Beban Usaha', 'Beban umum dan administrasi', '573', '68', 'AND ma.main_account_id IN (6105020003)', 'G', 'Depresiasi dan amortisasi', 0, 0),</v>
      </c>
    </row>
    <row r="577" spans="1:14" ht="27" x14ac:dyDescent="0.3">
      <c r="A577" s="4">
        <v>1573</v>
      </c>
      <c r="B577" s="4" t="s">
        <v>177</v>
      </c>
      <c r="C577" s="4" t="s">
        <v>178</v>
      </c>
      <c r="D577" s="7" t="s">
        <v>659</v>
      </c>
      <c r="E577" s="4" t="s">
        <v>78</v>
      </c>
      <c r="F577" s="9" t="s">
        <v>79</v>
      </c>
      <c r="G577" s="4">
        <v>574</v>
      </c>
      <c r="H577" s="4">
        <v>69</v>
      </c>
      <c r="I577" s="4" t="s">
        <v>934</v>
      </c>
      <c r="J577" s="4" t="str">
        <f t="shared" si="16"/>
        <v>6105020004</v>
      </c>
      <c r="K577" s="1" t="s">
        <v>12</v>
      </c>
      <c r="L577" s="4" t="s">
        <v>176</v>
      </c>
      <c r="M577" s="8" t="s">
        <v>905</v>
      </c>
      <c r="N577" s="4" t="str">
        <f t="shared" si="17"/>
        <v>('1573','RPT_009', 'LabaTrialBalance3rdSegment', '6105020004 - Beban Depresiasi - Kendaraan Bermotor', 'Beban Usaha', 'Beban umum dan administrasi', '574', '69', 'AND ma.main_account_id IN (6105020004)', 'G', 'Depresiasi dan amortisasi', 0, 0),</v>
      </c>
    </row>
    <row r="578" spans="1:14" ht="27" x14ac:dyDescent="0.3">
      <c r="A578" s="4">
        <v>1574</v>
      </c>
      <c r="B578" s="4" t="s">
        <v>177</v>
      </c>
      <c r="C578" s="4" t="s">
        <v>178</v>
      </c>
      <c r="D578" s="7" t="s">
        <v>660</v>
      </c>
      <c r="E578" s="4" t="s">
        <v>78</v>
      </c>
      <c r="F578" s="9" t="s">
        <v>79</v>
      </c>
      <c r="G578" s="4">
        <v>575</v>
      </c>
      <c r="H578" s="4">
        <v>70</v>
      </c>
      <c r="I578" s="4" t="s">
        <v>934</v>
      </c>
      <c r="J578" s="4" t="str">
        <f t="shared" si="16"/>
        <v>6105020006</v>
      </c>
      <c r="K578" s="1" t="s">
        <v>12</v>
      </c>
      <c r="L578" s="4" t="s">
        <v>176</v>
      </c>
      <c r="M578" s="8" t="s">
        <v>905</v>
      </c>
      <c r="N578" s="4" t="str">
        <f t="shared" si="17"/>
        <v>('1574','RPT_009', 'LabaTrialBalance3rdSegment', '6105020006 - Beban Depresiasi - Mesin dan Peralatan', 'Beban Usaha', 'Beban umum dan administrasi', '575', '70', 'AND ma.main_account_id IN (6105020006)', 'G', 'Depresiasi dan amortisasi', 0, 0),</v>
      </c>
    </row>
    <row r="579" spans="1:14" ht="27" x14ac:dyDescent="0.3">
      <c r="A579" s="4">
        <v>1575</v>
      </c>
      <c r="B579" s="4" t="s">
        <v>177</v>
      </c>
      <c r="C579" s="4" t="s">
        <v>178</v>
      </c>
      <c r="D579" s="7" t="s">
        <v>661</v>
      </c>
      <c r="E579" s="4" t="s">
        <v>78</v>
      </c>
      <c r="F579" s="9" t="s">
        <v>79</v>
      </c>
      <c r="G579" s="4">
        <v>576</v>
      </c>
      <c r="H579" s="4">
        <v>71</v>
      </c>
      <c r="I579" s="4" t="s">
        <v>934</v>
      </c>
      <c r="J579" s="4" t="str">
        <f t="shared" si="16"/>
        <v>6105020007</v>
      </c>
      <c r="K579" s="1" t="s">
        <v>12</v>
      </c>
      <c r="L579" s="4" t="s">
        <v>176</v>
      </c>
      <c r="M579" s="8" t="s">
        <v>905</v>
      </c>
      <c r="N579" s="4" t="str">
        <f t="shared" si="17"/>
        <v>('1575','RPT_009', 'LabaTrialBalance3rdSegment', '6105020007 - Beban Depresiasi - Perabotan dan Perlengkapan', 'Beban Usaha', 'Beban umum dan administrasi', '576', '71', 'AND ma.main_account_id IN (6105020007)', 'G', 'Depresiasi dan amortisasi', 0, 0),</v>
      </c>
    </row>
    <row r="580" spans="1:14" x14ac:dyDescent="0.3">
      <c r="A580" s="4">
        <v>1576</v>
      </c>
      <c r="B580" s="4" t="s">
        <v>177</v>
      </c>
      <c r="C580" s="4" t="s">
        <v>178</v>
      </c>
      <c r="D580" s="6" t="s">
        <v>662</v>
      </c>
      <c r="E580" s="4" t="s">
        <v>78</v>
      </c>
      <c r="F580" s="9" t="s">
        <v>79</v>
      </c>
      <c r="G580" s="4">
        <v>577</v>
      </c>
      <c r="H580" s="4">
        <v>72</v>
      </c>
      <c r="I580" s="4" t="s">
        <v>934</v>
      </c>
      <c r="J580" s="4" t="str">
        <f t="shared" ref="J580:J643" si="18">_xlfn.TEXTBEFORE(D580," -")</f>
        <v>6105030000</v>
      </c>
      <c r="K580" s="1" t="s">
        <v>12</v>
      </c>
      <c r="L580" s="4" t="s">
        <v>176</v>
      </c>
      <c r="M580" s="8" t="s">
        <v>905</v>
      </c>
      <c r="N580" s="4" t="str">
        <f t="shared" si="17"/>
        <v>('1576','RPT_009', 'LabaTrialBalance3rdSegment', '6105030000 -  Depresiasi aset hak guna', 'Beban Usaha', 'Beban umum dan administrasi', '577', '72', 'AND ma.main_account_id IN (6105030000)', 'G', 'Depresiasi dan amortisasi', 0, 0),</v>
      </c>
    </row>
    <row r="581" spans="1:14" ht="40.200000000000003" x14ac:dyDescent="0.3">
      <c r="A581" s="4">
        <v>1577</v>
      </c>
      <c r="B581" s="4" t="s">
        <v>177</v>
      </c>
      <c r="C581" s="4" t="s">
        <v>178</v>
      </c>
      <c r="D581" s="7" t="s">
        <v>663</v>
      </c>
      <c r="E581" s="4" t="s">
        <v>78</v>
      </c>
      <c r="F581" s="9" t="s">
        <v>79</v>
      </c>
      <c r="G581" s="4">
        <v>578</v>
      </c>
      <c r="H581" s="4">
        <v>73</v>
      </c>
      <c r="I581" s="4" t="s">
        <v>934</v>
      </c>
      <c r="J581" s="4" t="str">
        <f t="shared" si="18"/>
        <v>6105030001</v>
      </c>
      <c r="K581" s="1" t="s">
        <v>12</v>
      </c>
      <c r="L581" s="4" t="s">
        <v>176</v>
      </c>
      <c r="M581" s="8" t="s">
        <v>905</v>
      </c>
      <c r="N581" s="4" t="str">
        <f t="shared" ref="N581:N644" si="19">"('"&amp;A581&amp;"','"&amp;B581&amp;"', '"&amp;C581&amp;"', '"&amp;D581&amp;"', '"&amp;E581&amp;"', '"&amp;F581&amp;"', '"&amp;G581&amp;"', '"&amp;H581&amp;"', '"&amp;I581&amp;J581&amp;K581&amp;"', '"&amp;L581&amp;"', '"&amp;M581&amp;"', 0, 0),"</f>
        <v>('1577','RPT_009', 'LabaTrialBalance3rdSegment', '6105030001 - Beban Depresiasi Aset Hak Guna - Tanah - Konsesi Lahan / HPL / HGB / HGU', 'Beban Usaha', 'Beban umum dan administrasi', '578', '73', 'AND ma.main_account_id IN (6105030001)', 'G', 'Depresiasi dan amortisasi', 0, 0),</v>
      </c>
    </row>
    <row r="582" spans="1:14" ht="27" x14ac:dyDescent="0.3">
      <c r="A582" s="4">
        <v>1578</v>
      </c>
      <c r="B582" s="4" t="s">
        <v>177</v>
      </c>
      <c r="C582" s="4" t="s">
        <v>178</v>
      </c>
      <c r="D582" s="7" t="s">
        <v>664</v>
      </c>
      <c r="E582" s="4" t="s">
        <v>78</v>
      </c>
      <c r="F582" s="9" t="s">
        <v>79</v>
      </c>
      <c r="G582" s="4">
        <v>579</v>
      </c>
      <c r="H582" s="4">
        <v>74</v>
      </c>
      <c r="I582" s="4" t="s">
        <v>934</v>
      </c>
      <c r="J582" s="4" t="str">
        <f t="shared" si="18"/>
        <v>6105030004</v>
      </c>
      <c r="K582" s="1" t="s">
        <v>12</v>
      </c>
      <c r="L582" s="4" t="s">
        <v>176</v>
      </c>
      <c r="M582" s="8" t="s">
        <v>905</v>
      </c>
      <c r="N582" s="4" t="str">
        <f t="shared" si="19"/>
        <v>('1578','RPT_009', 'LabaTrialBalance3rdSegment', '6105030004 - Beban Depresiasi Aset Hak Guna - Bangunan Gedung', 'Beban Usaha', 'Beban umum dan administrasi', '579', '74', 'AND ma.main_account_id IN (6105030004)', 'G', 'Depresiasi dan amortisasi', 0, 0),</v>
      </c>
    </row>
    <row r="583" spans="1:14" ht="27" x14ac:dyDescent="0.3">
      <c r="A583" s="4">
        <v>1579</v>
      </c>
      <c r="B583" s="4" t="s">
        <v>177</v>
      </c>
      <c r="C583" s="4" t="s">
        <v>178</v>
      </c>
      <c r="D583" s="6" t="s">
        <v>665</v>
      </c>
      <c r="E583" s="4" t="s">
        <v>78</v>
      </c>
      <c r="F583" s="9" t="s">
        <v>79</v>
      </c>
      <c r="G583" s="4">
        <v>580</v>
      </c>
      <c r="H583" s="4">
        <v>75</v>
      </c>
      <c r="I583" s="4" t="s">
        <v>934</v>
      </c>
      <c r="J583" s="4" t="str">
        <f t="shared" si="18"/>
        <v>6105040000</v>
      </c>
      <c r="K583" s="1" t="s">
        <v>12</v>
      </c>
      <c r="L583" s="4" t="s">
        <v>176</v>
      </c>
      <c r="M583" s="8" t="s">
        <v>905</v>
      </c>
      <c r="N583" s="4" t="str">
        <f t="shared" si="19"/>
        <v>('1579','RPT_009', 'LabaTrialBalance3rdSegment', '6105040000 -  Amortisasi aset tak berwujud', 'Beban Usaha', 'Beban umum dan administrasi', '580', '75', 'AND ma.main_account_id IN (6105040000)', 'G', 'Depresiasi dan amortisasi', 0, 0),</v>
      </c>
    </row>
    <row r="584" spans="1:14" ht="27" x14ac:dyDescent="0.3">
      <c r="A584" s="4">
        <v>1580</v>
      </c>
      <c r="B584" s="4" t="s">
        <v>177</v>
      </c>
      <c r="C584" s="4" t="s">
        <v>178</v>
      </c>
      <c r="D584" s="7" t="s">
        <v>666</v>
      </c>
      <c r="E584" s="4" t="s">
        <v>78</v>
      </c>
      <c r="F584" s="9" t="s">
        <v>79</v>
      </c>
      <c r="G584" s="4">
        <v>581</v>
      </c>
      <c r="H584" s="4">
        <v>76</v>
      </c>
      <c r="I584" s="4" t="s">
        <v>934</v>
      </c>
      <c r="J584" s="4" t="str">
        <f t="shared" si="18"/>
        <v>6105040003</v>
      </c>
      <c r="K584" s="1" t="s">
        <v>12</v>
      </c>
      <c r="L584" s="4" t="s">
        <v>176</v>
      </c>
      <c r="M584" s="8" t="s">
        <v>905</v>
      </c>
      <c r="N584" s="4" t="str">
        <f t="shared" si="19"/>
        <v>('1580','RPT_009', 'LabaTrialBalance3rdSegment', '6105040003 - Beban Amortisasi Aset Tak Berwujud - Perangkat Lunak', 'Beban Usaha', 'Beban umum dan administrasi', '581', '76', 'AND ma.main_account_id IN (6105040003)', 'G', 'Depresiasi dan amortisasi', 0, 0),</v>
      </c>
    </row>
    <row r="585" spans="1:14" ht="26.4" x14ac:dyDescent="0.3">
      <c r="A585" s="4">
        <v>1581</v>
      </c>
      <c r="B585" s="4" t="s">
        <v>177</v>
      </c>
      <c r="C585" s="4" t="s">
        <v>178</v>
      </c>
      <c r="D585" s="5" t="s">
        <v>58</v>
      </c>
      <c r="E585" s="4" t="s">
        <v>78</v>
      </c>
      <c r="F585" s="9" t="s">
        <v>79</v>
      </c>
      <c r="G585" s="4">
        <v>582</v>
      </c>
      <c r="H585" s="4">
        <v>77</v>
      </c>
      <c r="I585" s="4" t="s">
        <v>934</v>
      </c>
      <c r="J585" s="4" t="str">
        <f t="shared" si="18"/>
        <v>6106000000</v>
      </c>
      <c r="K585" s="1" t="s">
        <v>12</v>
      </c>
      <c r="L585" s="4" t="s">
        <v>176</v>
      </c>
      <c r="M585" s="8" t="s">
        <v>906</v>
      </c>
      <c r="N585" s="4" t="str">
        <f t="shared" si="19"/>
        <v>('1581','RPT_009', 'LabaTrialBalance3rdSegment', '6106000000 -  Beban pejabat non-pegawai', 'Beban Usaha', 'Beban umum dan administrasi', '582', '77', 'AND ma.main_account_id IN (6106000000)', 'G', 'Beban pejabat non-pegawai', 0, 0),</v>
      </c>
    </row>
    <row r="586" spans="1:14" x14ac:dyDescent="0.3">
      <c r="A586" s="4">
        <v>1582</v>
      </c>
      <c r="B586" s="4" t="s">
        <v>177</v>
      </c>
      <c r="C586" s="4" t="s">
        <v>178</v>
      </c>
      <c r="D586" s="6" t="s">
        <v>667</v>
      </c>
      <c r="E586" s="4" t="s">
        <v>78</v>
      </c>
      <c r="F586" s="9" t="s">
        <v>79</v>
      </c>
      <c r="G586" s="4">
        <v>583</v>
      </c>
      <c r="H586" s="4">
        <v>78</v>
      </c>
      <c r="I586" s="4" t="s">
        <v>934</v>
      </c>
      <c r="J586" s="4" t="str">
        <f t="shared" si="18"/>
        <v>6106010000</v>
      </c>
      <c r="K586" s="1" t="s">
        <v>12</v>
      </c>
      <c r="L586" s="4" t="s">
        <v>176</v>
      </c>
      <c r="M586" s="8" t="s">
        <v>906</v>
      </c>
      <c r="N586" s="4" t="str">
        <f t="shared" si="19"/>
        <v>('1582','RPT_009', 'LabaTrialBalance3rdSegment', '6106010000 -  Honorarium', 'Beban Usaha', 'Beban umum dan administrasi', '583', '78', 'AND ma.main_account_id IN (6106010000)', 'G', 'Beban pejabat non-pegawai', 0, 0),</v>
      </c>
    </row>
    <row r="587" spans="1:14" x14ac:dyDescent="0.3">
      <c r="A587" s="4">
        <v>1583</v>
      </c>
      <c r="B587" s="4" t="s">
        <v>177</v>
      </c>
      <c r="C587" s="4" t="s">
        <v>178</v>
      </c>
      <c r="D587" s="7" t="s">
        <v>668</v>
      </c>
      <c r="E587" s="4" t="s">
        <v>78</v>
      </c>
      <c r="F587" s="9" t="s">
        <v>79</v>
      </c>
      <c r="G587" s="4">
        <v>584</v>
      </c>
      <c r="H587" s="4">
        <v>79</v>
      </c>
      <c r="I587" s="4" t="s">
        <v>934</v>
      </c>
      <c r="J587" s="4" t="str">
        <f t="shared" si="18"/>
        <v>6106010001</v>
      </c>
      <c r="K587" s="1" t="s">
        <v>12</v>
      </c>
      <c r="L587" s="4" t="s">
        <v>176</v>
      </c>
      <c r="M587" s="8" t="s">
        <v>906</v>
      </c>
      <c r="N587" s="4" t="str">
        <f t="shared" si="19"/>
        <v>('1583','RPT_009', 'LabaTrialBalance3rdSegment', '6106010001 - Beban Honorarium - Direksi', 'Beban Usaha', 'Beban umum dan administrasi', '584', '79', 'AND ma.main_account_id IN (6106010001)', 'G', 'Beban pejabat non-pegawai', 0, 0),</v>
      </c>
    </row>
    <row r="588" spans="1:14" ht="27" x14ac:dyDescent="0.3">
      <c r="A588" s="4">
        <v>1584</v>
      </c>
      <c r="B588" s="4" t="s">
        <v>177</v>
      </c>
      <c r="C588" s="4" t="s">
        <v>178</v>
      </c>
      <c r="D588" s="7" t="s">
        <v>669</v>
      </c>
      <c r="E588" s="4" t="s">
        <v>78</v>
      </c>
      <c r="F588" s="9" t="s">
        <v>79</v>
      </c>
      <c r="G588" s="4">
        <v>585</v>
      </c>
      <c r="H588" s="4">
        <v>80</v>
      </c>
      <c r="I588" s="4" t="s">
        <v>934</v>
      </c>
      <c r="J588" s="4" t="str">
        <f t="shared" si="18"/>
        <v>6106010002</v>
      </c>
      <c r="K588" s="1" t="s">
        <v>12</v>
      </c>
      <c r="L588" s="4" t="s">
        <v>176</v>
      </c>
      <c r="M588" s="8" t="s">
        <v>906</v>
      </c>
      <c r="N588" s="4" t="str">
        <f t="shared" si="19"/>
        <v>('1584','RPT_009', 'LabaTrialBalance3rdSegment', '6106010002 - Beban Honorarium - Komisaris', 'Beban Usaha', 'Beban umum dan administrasi', '585', '80', 'AND ma.main_account_id IN (6106010002)', 'G', 'Beban pejabat non-pegawai', 0, 0),</v>
      </c>
    </row>
    <row r="589" spans="1:14" x14ac:dyDescent="0.3">
      <c r="A589" s="4">
        <v>1585</v>
      </c>
      <c r="B589" s="4" t="s">
        <v>177</v>
      </c>
      <c r="C589" s="4" t="s">
        <v>178</v>
      </c>
      <c r="D589" s="6" t="s">
        <v>670</v>
      </c>
      <c r="E589" s="4" t="s">
        <v>78</v>
      </c>
      <c r="F589" s="9" t="s">
        <v>79</v>
      </c>
      <c r="G589" s="4">
        <v>586</v>
      </c>
      <c r="H589" s="4">
        <v>81</v>
      </c>
      <c r="I589" s="4" t="s">
        <v>934</v>
      </c>
      <c r="J589" s="4" t="str">
        <f t="shared" si="18"/>
        <v>6106020000</v>
      </c>
      <c r="K589" s="1" t="s">
        <v>12</v>
      </c>
      <c r="L589" s="4" t="s">
        <v>176</v>
      </c>
      <c r="M589" s="8" t="s">
        <v>906</v>
      </c>
      <c r="N589" s="4" t="str">
        <f t="shared" si="19"/>
        <v>('1585','RPT_009', 'LabaTrialBalance3rdSegment', '6106020000 -  Natura', 'Beban Usaha', 'Beban umum dan administrasi', '586', '81', 'AND ma.main_account_id IN (6106020000)', 'G', 'Beban pejabat non-pegawai', 0, 0),</v>
      </c>
    </row>
    <row r="590" spans="1:14" ht="27" x14ac:dyDescent="0.3">
      <c r="A590" s="4">
        <v>1586</v>
      </c>
      <c r="B590" s="4" t="s">
        <v>177</v>
      </c>
      <c r="C590" s="4" t="s">
        <v>178</v>
      </c>
      <c r="D590" s="7" t="s">
        <v>671</v>
      </c>
      <c r="E590" s="4" t="s">
        <v>78</v>
      </c>
      <c r="F590" s="9" t="s">
        <v>79</v>
      </c>
      <c r="G590" s="4">
        <v>587</v>
      </c>
      <c r="H590" s="4">
        <v>82</v>
      </c>
      <c r="I590" s="4" t="s">
        <v>934</v>
      </c>
      <c r="J590" s="4" t="str">
        <f t="shared" si="18"/>
        <v>6106020001</v>
      </c>
      <c r="K590" s="1" t="s">
        <v>12</v>
      </c>
      <c r="L590" s="4" t="s">
        <v>176</v>
      </c>
      <c r="M590" s="8" t="s">
        <v>906</v>
      </c>
      <c r="N590" s="4" t="str">
        <f t="shared" si="19"/>
        <v>('1586','RPT_009', 'LabaTrialBalance3rdSegment', '6106020001 - Beban Asuransi Purna Jabatan - Direksi', 'Beban Usaha', 'Beban umum dan administrasi', '587', '82', 'AND ma.main_account_id IN (6106020001)', 'G', 'Beban pejabat non-pegawai', 0, 0),</v>
      </c>
    </row>
    <row r="591" spans="1:14" ht="27" x14ac:dyDescent="0.3">
      <c r="A591" s="4">
        <v>1587</v>
      </c>
      <c r="B591" s="4" t="s">
        <v>177</v>
      </c>
      <c r="C591" s="4" t="s">
        <v>178</v>
      </c>
      <c r="D591" s="7" t="s">
        <v>672</v>
      </c>
      <c r="E591" s="4" t="s">
        <v>78</v>
      </c>
      <c r="F591" s="9" t="s">
        <v>79</v>
      </c>
      <c r="G591" s="4">
        <v>588</v>
      </c>
      <c r="H591" s="4">
        <v>83</v>
      </c>
      <c r="I591" s="4" t="s">
        <v>934</v>
      </c>
      <c r="J591" s="4" t="str">
        <f t="shared" si="18"/>
        <v>6106020002</v>
      </c>
      <c r="K591" s="1" t="s">
        <v>12</v>
      </c>
      <c r="L591" s="4" t="s">
        <v>176</v>
      </c>
      <c r="M591" s="8" t="s">
        <v>906</v>
      </c>
      <c r="N591" s="4" t="str">
        <f t="shared" si="19"/>
        <v>('1587','RPT_009', 'LabaTrialBalance3rdSegment', '6106020002 - Beban Asuransi Purna Jabatan - Komisaris', 'Beban Usaha', 'Beban umum dan administrasi', '588', '83', 'AND ma.main_account_id IN (6106020002)', 'G', 'Beban pejabat non-pegawai', 0, 0),</v>
      </c>
    </row>
    <row r="592" spans="1:14" ht="27" x14ac:dyDescent="0.3">
      <c r="A592" s="4">
        <v>1588</v>
      </c>
      <c r="B592" s="4" t="s">
        <v>177</v>
      </c>
      <c r="C592" s="4" t="s">
        <v>178</v>
      </c>
      <c r="D592" s="7" t="s">
        <v>673</v>
      </c>
      <c r="E592" s="4" t="s">
        <v>78</v>
      </c>
      <c r="F592" s="9" t="s">
        <v>79</v>
      </c>
      <c r="G592" s="4">
        <v>589</v>
      </c>
      <c r="H592" s="4">
        <v>84</v>
      </c>
      <c r="I592" s="4" t="s">
        <v>934</v>
      </c>
      <c r="J592" s="4" t="str">
        <f t="shared" si="18"/>
        <v>6106020003</v>
      </c>
      <c r="K592" s="1" t="s">
        <v>12</v>
      </c>
      <c r="L592" s="4" t="s">
        <v>176</v>
      </c>
      <c r="M592" s="8" t="s">
        <v>906</v>
      </c>
      <c r="N592" s="4" t="str">
        <f t="shared" si="19"/>
        <v>('1588','RPT_009', 'LabaTrialBalance3rdSegment', '6106020003 - Beban Pakaian Dinas - Direksi', 'Beban Usaha', 'Beban umum dan administrasi', '589', '84', 'AND ma.main_account_id IN (6106020003)', 'G', 'Beban pejabat non-pegawai', 0, 0),</v>
      </c>
    </row>
    <row r="593" spans="1:14" ht="27" x14ac:dyDescent="0.3">
      <c r="A593" s="4">
        <v>1589</v>
      </c>
      <c r="B593" s="4" t="s">
        <v>177</v>
      </c>
      <c r="C593" s="4" t="s">
        <v>178</v>
      </c>
      <c r="D593" s="7" t="s">
        <v>674</v>
      </c>
      <c r="E593" s="4" t="s">
        <v>78</v>
      </c>
      <c r="F593" s="9" t="s">
        <v>79</v>
      </c>
      <c r="G593" s="4">
        <v>590</v>
      </c>
      <c r="H593" s="4">
        <v>85</v>
      </c>
      <c r="I593" s="4" t="s">
        <v>934</v>
      </c>
      <c r="J593" s="4" t="str">
        <f t="shared" si="18"/>
        <v>6106020004</v>
      </c>
      <c r="K593" s="1" t="s">
        <v>12</v>
      </c>
      <c r="L593" s="4" t="s">
        <v>176</v>
      </c>
      <c r="M593" s="8" t="s">
        <v>906</v>
      </c>
      <c r="N593" s="4" t="str">
        <f t="shared" si="19"/>
        <v>('1589','RPT_009', 'LabaTrialBalance3rdSegment', '6106020004 - Beban Pakaian Dinas - Komisaris', 'Beban Usaha', 'Beban umum dan administrasi', '590', '85', 'AND ma.main_account_id IN (6106020004)', 'G', 'Beban pejabat non-pegawai', 0, 0),</v>
      </c>
    </row>
    <row r="594" spans="1:14" ht="27" x14ac:dyDescent="0.3">
      <c r="A594" s="4">
        <v>1590</v>
      </c>
      <c r="B594" s="4" t="s">
        <v>177</v>
      </c>
      <c r="C594" s="4" t="s">
        <v>178</v>
      </c>
      <c r="D594" s="7" t="s">
        <v>675</v>
      </c>
      <c r="E594" s="4" t="s">
        <v>78</v>
      </c>
      <c r="F594" s="9" t="s">
        <v>79</v>
      </c>
      <c r="G594" s="4">
        <v>591</v>
      </c>
      <c r="H594" s="4">
        <v>86</v>
      </c>
      <c r="I594" s="4" t="s">
        <v>934</v>
      </c>
      <c r="J594" s="4" t="str">
        <f t="shared" si="18"/>
        <v>6106020005</v>
      </c>
      <c r="K594" s="1" t="s">
        <v>12</v>
      </c>
      <c r="L594" s="4" t="s">
        <v>176</v>
      </c>
      <c r="M594" s="8" t="s">
        <v>906</v>
      </c>
      <c r="N594" s="4" t="str">
        <f t="shared" si="19"/>
        <v>('1590','RPT_009', 'LabaTrialBalance3rdSegment', '6106020005 - Beban kesehatan non-asuransi - Direksi', 'Beban Usaha', 'Beban umum dan administrasi', '591', '86', 'AND ma.main_account_id IN (6106020005)', 'G', 'Beban pejabat non-pegawai', 0, 0),</v>
      </c>
    </row>
    <row r="595" spans="1:14" ht="27" x14ac:dyDescent="0.3">
      <c r="A595" s="4">
        <v>1591</v>
      </c>
      <c r="B595" s="4" t="s">
        <v>177</v>
      </c>
      <c r="C595" s="4" t="s">
        <v>178</v>
      </c>
      <c r="D595" s="7" t="s">
        <v>676</v>
      </c>
      <c r="E595" s="4" t="s">
        <v>78</v>
      </c>
      <c r="F595" s="9" t="s">
        <v>79</v>
      </c>
      <c r="G595" s="4">
        <v>592</v>
      </c>
      <c r="H595" s="4">
        <v>87</v>
      </c>
      <c r="I595" s="4" t="s">
        <v>934</v>
      </c>
      <c r="J595" s="4" t="str">
        <f t="shared" si="18"/>
        <v>6106020006</v>
      </c>
      <c r="K595" s="1" t="s">
        <v>12</v>
      </c>
      <c r="L595" s="4" t="s">
        <v>176</v>
      </c>
      <c r="M595" s="8" t="s">
        <v>906</v>
      </c>
      <c r="N595" s="4" t="str">
        <f t="shared" si="19"/>
        <v>('1591','RPT_009', 'LabaTrialBalance3rdSegment', '6106020006 - Beban asuransi kesehatan - Direksi', 'Beban Usaha', 'Beban umum dan administrasi', '592', '87', 'AND ma.main_account_id IN (6106020006)', 'G', 'Beban pejabat non-pegawai', 0, 0),</v>
      </c>
    </row>
    <row r="596" spans="1:14" ht="27" x14ac:dyDescent="0.3">
      <c r="A596" s="4">
        <v>1592</v>
      </c>
      <c r="B596" s="4" t="s">
        <v>177</v>
      </c>
      <c r="C596" s="4" t="s">
        <v>178</v>
      </c>
      <c r="D596" s="7" t="s">
        <v>677</v>
      </c>
      <c r="E596" s="4" t="s">
        <v>78</v>
      </c>
      <c r="F596" s="9" t="s">
        <v>79</v>
      </c>
      <c r="G596" s="4">
        <v>593</v>
      </c>
      <c r="H596" s="4">
        <v>88</v>
      </c>
      <c r="I596" s="4" t="s">
        <v>934</v>
      </c>
      <c r="J596" s="4" t="str">
        <f t="shared" si="18"/>
        <v>6106020007</v>
      </c>
      <c r="K596" s="1" t="s">
        <v>12</v>
      </c>
      <c r="L596" s="4" t="s">
        <v>176</v>
      </c>
      <c r="M596" s="8" t="s">
        <v>906</v>
      </c>
      <c r="N596" s="4" t="str">
        <f t="shared" si="19"/>
        <v>('1592','RPT_009', 'LabaTrialBalance3rdSegment', '6106020007 - Beban kesehatan non-asuransi - Komisaris', 'Beban Usaha', 'Beban umum dan administrasi', '593', '88', 'AND ma.main_account_id IN (6106020007)', 'G', 'Beban pejabat non-pegawai', 0, 0),</v>
      </c>
    </row>
    <row r="597" spans="1:14" ht="27" x14ac:dyDescent="0.3">
      <c r="A597" s="4">
        <v>1593</v>
      </c>
      <c r="B597" s="4" t="s">
        <v>177</v>
      </c>
      <c r="C597" s="4" t="s">
        <v>178</v>
      </c>
      <c r="D597" s="7" t="s">
        <v>678</v>
      </c>
      <c r="E597" s="4" t="s">
        <v>78</v>
      </c>
      <c r="F597" s="9" t="s">
        <v>79</v>
      </c>
      <c r="G597" s="4">
        <v>594</v>
      </c>
      <c r="H597" s="4">
        <v>89</v>
      </c>
      <c r="I597" s="4" t="s">
        <v>934</v>
      </c>
      <c r="J597" s="4" t="str">
        <f t="shared" si="18"/>
        <v>6106020008</v>
      </c>
      <c r="K597" s="1" t="s">
        <v>12</v>
      </c>
      <c r="L597" s="4" t="s">
        <v>176</v>
      </c>
      <c r="M597" s="8" t="s">
        <v>906</v>
      </c>
      <c r="N597" s="4" t="str">
        <f t="shared" si="19"/>
        <v>('1593','RPT_009', 'LabaTrialBalance3rdSegment', '6106020008 - Beban asuransi kesehatan - Komisaris', 'Beban Usaha', 'Beban umum dan administrasi', '594', '89', 'AND ma.main_account_id IN (6106020008)', 'G', 'Beban pejabat non-pegawai', 0, 0),</v>
      </c>
    </row>
    <row r="598" spans="1:14" ht="27" x14ac:dyDescent="0.3">
      <c r="A598" s="4">
        <v>1594</v>
      </c>
      <c r="B598" s="4" t="s">
        <v>177</v>
      </c>
      <c r="C598" s="4" t="s">
        <v>178</v>
      </c>
      <c r="D598" s="7" t="s">
        <v>679</v>
      </c>
      <c r="E598" s="4" t="s">
        <v>78</v>
      </c>
      <c r="F598" s="9" t="s">
        <v>79</v>
      </c>
      <c r="G598" s="4">
        <v>595</v>
      </c>
      <c r="H598" s="4">
        <v>90</v>
      </c>
      <c r="I598" s="4" t="s">
        <v>934</v>
      </c>
      <c r="J598" s="4" t="str">
        <f t="shared" si="18"/>
        <v>6106020009</v>
      </c>
      <c r="K598" s="1" t="s">
        <v>12</v>
      </c>
      <c r="L598" s="4" t="s">
        <v>176</v>
      </c>
      <c r="M598" s="8" t="s">
        <v>906</v>
      </c>
      <c r="N598" s="4" t="str">
        <f t="shared" si="19"/>
        <v>('1594','RPT_009', 'LabaTrialBalance3rdSegment', '6106020009 - Beban Sewa Kendaraan Bermotor - Direksi', 'Beban Usaha', 'Beban umum dan administrasi', '595', '90', 'AND ma.main_account_id IN (6106020009)', 'G', 'Beban pejabat non-pegawai', 0, 0),</v>
      </c>
    </row>
    <row r="599" spans="1:14" ht="27" x14ac:dyDescent="0.3">
      <c r="A599" s="4">
        <v>1595</v>
      </c>
      <c r="B599" s="4" t="s">
        <v>177</v>
      </c>
      <c r="C599" s="4" t="s">
        <v>178</v>
      </c>
      <c r="D599" s="7" t="s">
        <v>680</v>
      </c>
      <c r="E599" s="4" t="s">
        <v>78</v>
      </c>
      <c r="F599" s="9" t="s">
        <v>79</v>
      </c>
      <c r="G599" s="4">
        <v>596</v>
      </c>
      <c r="H599" s="4">
        <v>91</v>
      </c>
      <c r="I599" s="4" t="s">
        <v>934</v>
      </c>
      <c r="J599" s="4" t="str">
        <f t="shared" si="18"/>
        <v>6106020010</v>
      </c>
      <c r="K599" s="1" t="s">
        <v>12</v>
      </c>
      <c r="L599" s="4" t="s">
        <v>176</v>
      </c>
      <c r="M599" s="8" t="s">
        <v>906</v>
      </c>
      <c r="N599" s="4" t="str">
        <f t="shared" si="19"/>
        <v>('1595','RPT_009', 'LabaTrialBalance3rdSegment', '6106020010 - Beban Tunjangan PPh 21 - Direksi', 'Beban Usaha', 'Beban umum dan administrasi', '596', '91', 'AND ma.main_account_id IN (6106020010)', 'G', 'Beban pejabat non-pegawai', 0, 0),</v>
      </c>
    </row>
    <row r="600" spans="1:14" ht="27" x14ac:dyDescent="0.3">
      <c r="A600" s="4">
        <v>1596</v>
      </c>
      <c r="B600" s="4" t="s">
        <v>177</v>
      </c>
      <c r="C600" s="4" t="s">
        <v>178</v>
      </c>
      <c r="D600" s="7" t="s">
        <v>681</v>
      </c>
      <c r="E600" s="4" t="s">
        <v>78</v>
      </c>
      <c r="F600" s="9" t="s">
        <v>79</v>
      </c>
      <c r="G600" s="4">
        <v>597</v>
      </c>
      <c r="H600" s="4">
        <v>92</v>
      </c>
      <c r="I600" s="4" t="s">
        <v>934</v>
      </c>
      <c r="J600" s="4" t="str">
        <f t="shared" si="18"/>
        <v>6106020011</v>
      </c>
      <c r="K600" s="1" t="s">
        <v>12</v>
      </c>
      <c r="L600" s="4" t="s">
        <v>176</v>
      </c>
      <c r="M600" s="8" t="s">
        <v>906</v>
      </c>
      <c r="N600" s="4" t="str">
        <f t="shared" si="19"/>
        <v>('1596','RPT_009', 'LabaTrialBalance3rdSegment', '6106020011 - Beban Tunjangan PPh 21 - Komisaris', 'Beban Usaha', 'Beban umum dan administrasi', '597', '92', 'AND ma.main_account_id IN (6106020011)', 'G', 'Beban pejabat non-pegawai', 0, 0),</v>
      </c>
    </row>
    <row r="601" spans="1:14" ht="27" x14ac:dyDescent="0.3">
      <c r="A601" s="4">
        <v>1597</v>
      </c>
      <c r="B601" s="4" t="s">
        <v>177</v>
      </c>
      <c r="C601" s="4" t="s">
        <v>178</v>
      </c>
      <c r="D601" s="7" t="s">
        <v>682</v>
      </c>
      <c r="E601" s="4" t="s">
        <v>78</v>
      </c>
      <c r="F601" s="9" t="s">
        <v>79</v>
      </c>
      <c r="G601" s="4">
        <v>598</v>
      </c>
      <c r="H601" s="4">
        <v>93</v>
      </c>
      <c r="I601" s="4" t="s">
        <v>934</v>
      </c>
      <c r="J601" s="4" t="str">
        <f t="shared" si="18"/>
        <v>6106020012</v>
      </c>
      <c r="K601" s="1" t="s">
        <v>12</v>
      </c>
      <c r="L601" s="4" t="s">
        <v>176</v>
      </c>
      <c r="M601" s="8" t="s">
        <v>906</v>
      </c>
      <c r="N601" s="4" t="str">
        <f t="shared" si="19"/>
        <v>('1597','RPT_009', 'LabaTrialBalance3rdSegment', '6106020012 - Beban Asuransi Ketenagakerjaan - Direksi', 'Beban Usaha', 'Beban umum dan administrasi', '598', '93', 'AND ma.main_account_id IN (6106020012)', 'G', 'Beban pejabat non-pegawai', 0, 0),</v>
      </c>
    </row>
    <row r="602" spans="1:14" ht="27" x14ac:dyDescent="0.3">
      <c r="A602" s="4">
        <v>1598</v>
      </c>
      <c r="B602" s="4" t="s">
        <v>177</v>
      </c>
      <c r="C602" s="4" t="s">
        <v>178</v>
      </c>
      <c r="D602" s="7" t="s">
        <v>683</v>
      </c>
      <c r="E602" s="4" t="s">
        <v>78</v>
      </c>
      <c r="F602" s="9" t="s">
        <v>79</v>
      </c>
      <c r="G602" s="4">
        <v>599</v>
      </c>
      <c r="H602" s="4">
        <v>94</v>
      </c>
      <c r="I602" s="4" t="s">
        <v>934</v>
      </c>
      <c r="J602" s="4" t="str">
        <f t="shared" si="18"/>
        <v>6106020013</v>
      </c>
      <c r="K602" s="1" t="s">
        <v>12</v>
      </c>
      <c r="L602" s="4" t="s">
        <v>176</v>
      </c>
      <c r="M602" s="8" t="s">
        <v>906</v>
      </c>
      <c r="N602" s="4" t="str">
        <f t="shared" si="19"/>
        <v>('1598','RPT_009', 'LabaTrialBalance3rdSegment', '6106020013 - Beban Asuransi Ketenagakerjaan - Komisaris', 'Beban Usaha', 'Beban umum dan administrasi', '599', '94', 'AND ma.main_account_id IN (6106020013)', 'G', 'Beban pejabat non-pegawai', 0, 0),</v>
      </c>
    </row>
    <row r="603" spans="1:14" x14ac:dyDescent="0.3">
      <c r="A603" s="4">
        <v>1599</v>
      </c>
      <c r="B603" s="4" t="s">
        <v>177</v>
      </c>
      <c r="C603" s="4" t="s">
        <v>178</v>
      </c>
      <c r="D603" s="6" t="s">
        <v>684</v>
      </c>
      <c r="E603" s="4" t="s">
        <v>78</v>
      </c>
      <c r="F603" s="9" t="s">
        <v>79</v>
      </c>
      <c r="G603" s="4">
        <v>600</v>
      </c>
      <c r="H603" s="4">
        <v>95</v>
      </c>
      <c r="I603" s="4" t="s">
        <v>934</v>
      </c>
      <c r="J603" s="4" t="str">
        <f t="shared" si="18"/>
        <v>6106030000</v>
      </c>
      <c r="K603" s="1" t="s">
        <v>12</v>
      </c>
      <c r="L603" s="4" t="s">
        <v>176</v>
      </c>
      <c r="M603" s="8" t="s">
        <v>906</v>
      </c>
      <c r="N603" s="4" t="str">
        <f t="shared" si="19"/>
        <v>('1599','RPT_009', 'LabaTrialBalance3rdSegment', '6106030000 -  Tunjangan-tunjangan', 'Beban Usaha', 'Beban umum dan administrasi', '600', '95', 'AND ma.main_account_id IN (6106030000)', 'G', 'Beban pejabat non-pegawai', 0, 0),</v>
      </c>
    </row>
    <row r="604" spans="1:14" ht="27" x14ac:dyDescent="0.3">
      <c r="A604" s="4">
        <v>1600</v>
      </c>
      <c r="B604" s="4" t="s">
        <v>177</v>
      </c>
      <c r="C604" s="4" t="s">
        <v>178</v>
      </c>
      <c r="D604" s="7" t="s">
        <v>685</v>
      </c>
      <c r="E604" s="4" t="s">
        <v>78</v>
      </c>
      <c r="F604" s="9" t="s">
        <v>79</v>
      </c>
      <c r="G604" s="4">
        <v>601</v>
      </c>
      <c r="H604" s="4">
        <v>96</v>
      </c>
      <c r="I604" s="4" t="s">
        <v>934</v>
      </c>
      <c r="J604" s="4" t="str">
        <f t="shared" si="18"/>
        <v>6106030001</v>
      </c>
      <c r="K604" s="1" t="s">
        <v>12</v>
      </c>
      <c r="L604" s="4" t="s">
        <v>176</v>
      </c>
      <c r="M604" s="8" t="s">
        <v>906</v>
      </c>
      <c r="N604" s="4" t="str">
        <f t="shared" si="19"/>
        <v>('1600','RPT_009', 'LabaTrialBalance3rdSegment', '6106030001 - Beban tunjangan operasional - Direksi', 'Beban Usaha', 'Beban umum dan administrasi', '601', '96', 'AND ma.main_account_id IN (6106030001)', 'G', 'Beban pejabat non-pegawai', 0, 0),</v>
      </c>
    </row>
    <row r="605" spans="1:14" ht="27" x14ac:dyDescent="0.3">
      <c r="A605" s="4">
        <v>1601</v>
      </c>
      <c r="B605" s="4" t="s">
        <v>177</v>
      </c>
      <c r="C605" s="4" t="s">
        <v>178</v>
      </c>
      <c r="D605" s="7" t="s">
        <v>686</v>
      </c>
      <c r="E605" s="4" t="s">
        <v>78</v>
      </c>
      <c r="F605" s="9" t="s">
        <v>79</v>
      </c>
      <c r="G605" s="4">
        <v>602</v>
      </c>
      <c r="H605" s="4">
        <v>97</v>
      </c>
      <c r="I605" s="4" t="s">
        <v>934</v>
      </c>
      <c r="J605" s="4" t="str">
        <f t="shared" si="18"/>
        <v>6106030002</v>
      </c>
      <c r="K605" s="1" t="s">
        <v>12</v>
      </c>
      <c r="L605" s="4" t="s">
        <v>176</v>
      </c>
      <c r="M605" s="8" t="s">
        <v>906</v>
      </c>
      <c r="N605" s="4" t="str">
        <f t="shared" si="19"/>
        <v>('1601','RPT_009', 'LabaTrialBalance3rdSegment', '6106030002 - Beban tunjangan operasional - Komisaris', 'Beban Usaha', 'Beban umum dan administrasi', '602', '97', 'AND ma.main_account_id IN (6106030002)', 'G', 'Beban pejabat non-pegawai', 0, 0),</v>
      </c>
    </row>
    <row r="606" spans="1:14" ht="27" x14ac:dyDescent="0.3">
      <c r="A606" s="4">
        <v>1602</v>
      </c>
      <c r="B606" s="4" t="s">
        <v>177</v>
      </c>
      <c r="C606" s="4" t="s">
        <v>178</v>
      </c>
      <c r="D606" s="7" t="s">
        <v>687</v>
      </c>
      <c r="E606" s="4" t="s">
        <v>78</v>
      </c>
      <c r="F606" s="9" t="s">
        <v>79</v>
      </c>
      <c r="G606" s="4">
        <v>603</v>
      </c>
      <c r="H606" s="4">
        <v>98</v>
      </c>
      <c r="I606" s="4" t="s">
        <v>934</v>
      </c>
      <c r="J606" s="4" t="str">
        <f t="shared" si="18"/>
        <v>6106030003</v>
      </c>
      <c r="K606" s="1" t="s">
        <v>12</v>
      </c>
      <c r="L606" s="4" t="s">
        <v>176</v>
      </c>
      <c r="M606" s="8" t="s">
        <v>906</v>
      </c>
      <c r="N606" s="4" t="str">
        <f t="shared" si="19"/>
        <v>('1602','RPT_009', 'LabaTrialBalance3rdSegment', '6106030003 - Tunjangan Hari Raya - Direksi', 'Beban Usaha', 'Beban umum dan administrasi', '603', '98', 'AND ma.main_account_id IN (6106030003)', 'G', 'Beban pejabat non-pegawai', 0, 0),</v>
      </c>
    </row>
    <row r="607" spans="1:14" ht="27" x14ac:dyDescent="0.3">
      <c r="A607" s="4">
        <v>1603</v>
      </c>
      <c r="B607" s="4" t="s">
        <v>177</v>
      </c>
      <c r="C607" s="4" t="s">
        <v>178</v>
      </c>
      <c r="D607" s="7" t="s">
        <v>688</v>
      </c>
      <c r="E607" s="4" t="s">
        <v>78</v>
      </c>
      <c r="F607" s="9" t="s">
        <v>79</v>
      </c>
      <c r="G607" s="4">
        <v>604</v>
      </c>
      <c r="H607" s="4">
        <v>99</v>
      </c>
      <c r="I607" s="4" t="s">
        <v>934</v>
      </c>
      <c r="J607" s="4" t="str">
        <f t="shared" si="18"/>
        <v>6106030004</v>
      </c>
      <c r="K607" s="1" t="s">
        <v>12</v>
      </c>
      <c r="L607" s="4" t="s">
        <v>176</v>
      </c>
      <c r="M607" s="8" t="s">
        <v>906</v>
      </c>
      <c r="N607" s="4" t="str">
        <f t="shared" si="19"/>
        <v>('1603','RPT_009', 'LabaTrialBalance3rdSegment', '6106030004 - Tunjangan Hari Raya - Komisaris', 'Beban Usaha', 'Beban umum dan administrasi', '604', '99', 'AND ma.main_account_id IN (6106030004)', 'G', 'Beban pejabat non-pegawai', 0, 0),</v>
      </c>
    </row>
    <row r="608" spans="1:14" x14ac:dyDescent="0.3">
      <c r="A608" s="4">
        <v>1604</v>
      </c>
      <c r="B608" s="4" t="s">
        <v>177</v>
      </c>
      <c r="C608" s="4" t="s">
        <v>178</v>
      </c>
      <c r="D608" s="6" t="s">
        <v>689</v>
      </c>
      <c r="E608" s="4" t="s">
        <v>78</v>
      </c>
      <c r="F608" s="9" t="s">
        <v>79</v>
      </c>
      <c r="G608" s="4">
        <v>605</v>
      </c>
      <c r="H608" s="4">
        <v>100</v>
      </c>
      <c r="I608" s="4" t="s">
        <v>934</v>
      </c>
      <c r="J608" s="4" t="str">
        <f t="shared" si="18"/>
        <v>6106040000</v>
      </c>
      <c r="K608" s="1" t="s">
        <v>12</v>
      </c>
      <c r="L608" s="4" t="s">
        <v>176</v>
      </c>
      <c r="M608" s="8" t="s">
        <v>906</v>
      </c>
      <c r="N608" s="4" t="str">
        <f t="shared" si="19"/>
        <v>('1604','RPT_009', 'LabaTrialBalance3rdSegment', '6106040000 -  Tantiem', 'Beban Usaha', 'Beban umum dan administrasi', '605', '100', 'AND ma.main_account_id IN (6106040000)', 'G', 'Beban pejabat non-pegawai', 0, 0),</v>
      </c>
    </row>
    <row r="609" spans="1:14" x14ac:dyDescent="0.3">
      <c r="A609" s="4">
        <v>1605</v>
      </c>
      <c r="B609" s="4" t="s">
        <v>177</v>
      </c>
      <c r="C609" s="4" t="s">
        <v>178</v>
      </c>
      <c r="D609" s="7" t="s">
        <v>690</v>
      </c>
      <c r="E609" s="4" t="s">
        <v>78</v>
      </c>
      <c r="F609" s="9" t="s">
        <v>79</v>
      </c>
      <c r="G609" s="4">
        <v>606</v>
      </c>
      <c r="H609" s="4">
        <v>101</v>
      </c>
      <c r="I609" s="4" t="s">
        <v>934</v>
      </c>
      <c r="J609" s="4" t="str">
        <f t="shared" si="18"/>
        <v>6106040001</v>
      </c>
      <c r="K609" s="1" t="s">
        <v>12</v>
      </c>
      <c r="L609" s="4" t="s">
        <v>176</v>
      </c>
      <c r="M609" s="8" t="s">
        <v>906</v>
      </c>
      <c r="N609" s="4" t="str">
        <f t="shared" si="19"/>
        <v>('1605','RPT_009', 'LabaTrialBalance3rdSegment', '6106040001 - Tantiem - Direksi', 'Beban Usaha', 'Beban umum dan administrasi', '606', '101', 'AND ma.main_account_id IN (6106040001)', 'G', 'Beban pejabat non-pegawai', 0, 0),</v>
      </c>
    </row>
    <row r="610" spans="1:14" x14ac:dyDescent="0.3">
      <c r="A610" s="4">
        <v>1606</v>
      </c>
      <c r="B610" s="4" t="s">
        <v>177</v>
      </c>
      <c r="C610" s="4" t="s">
        <v>178</v>
      </c>
      <c r="D610" s="7" t="s">
        <v>691</v>
      </c>
      <c r="E610" s="4" t="s">
        <v>78</v>
      </c>
      <c r="F610" s="9" t="s">
        <v>79</v>
      </c>
      <c r="G610" s="4">
        <v>607</v>
      </c>
      <c r="H610" s="4">
        <v>102</v>
      </c>
      <c r="I610" s="4" t="s">
        <v>934</v>
      </c>
      <c r="J610" s="4" t="str">
        <f t="shared" si="18"/>
        <v>6106040002</v>
      </c>
      <c r="K610" s="1" t="s">
        <v>12</v>
      </c>
      <c r="L610" s="4" t="s">
        <v>176</v>
      </c>
      <c r="M610" s="8" t="s">
        <v>906</v>
      </c>
      <c r="N610" s="4" t="str">
        <f t="shared" si="19"/>
        <v>('1606','RPT_009', 'LabaTrialBalance3rdSegment', '6106040002 - Tantiem - Komisaris', 'Beban Usaha', 'Beban umum dan administrasi', '607', '102', 'AND ma.main_account_id IN (6106040002)', 'G', 'Beban pejabat non-pegawai', 0, 0),</v>
      </c>
    </row>
    <row r="611" spans="1:14" ht="27" x14ac:dyDescent="0.3">
      <c r="A611" s="4">
        <v>1607</v>
      </c>
      <c r="B611" s="4" t="s">
        <v>177</v>
      </c>
      <c r="C611" s="4" t="s">
        <v>178</v>
      </c>
      <c r="D611" s="6" t="s">
        <v>692</v>
      </c>
      <c r="E611" s="4" t="s">
        <v>78</v>
      </c>
      <c r="F611" s="9" t="s">
        <v>79</v>
      </c>
      <c r="G611" s="4">
        <v>608</v>
      </c>
      <c r="H611" s="4">
        <v>103</v>
      </c>
      <c r="I611" s="4" t="s">
        <v>934</v>
      </c>
      <c r="J611" s="4" t="str">
        <f t="shared" si="18"/>
        <v>6106050000</v>
      </c>
      <c r="K611" s="1" t="s">
        <v>12</v>
      </c>
      <c r="L611" s="4" t="s">
        <v>176</v>
      </c>
      <c r="M611" s="8" t="s">
        <v>906</v>
      </c>
      <c r="N611" s="4" t="str">
        <f t="shared" si="19"/>
        <v>('1607','RPT_009', 'LabaTrialBalance3rdSegment', '6106050000 -  Beban Operasional Pendukung Dewan Komisaris dan Direksi', 'Beban Usaha', 'Beban umum dan administrasi', '608', '103', 'AND ma.main_account_id IN (6106050000)', 'G', 'Beban pejabat non-pegawai', 0, 0),</v>
      </c>
    </row>
    <row r="612" spans="1:14" ht="27" x14ac:dyDescent="0.3">
      <c r="A612" s="4">
        <v>1608</v>
      </c>
      <c r="B612" s="4" t="s">
        <v>177</v>
      </c>
      <c r="C612" s="4" t="s">
        <v>178</v>
      </c>
      <c r="D612" s="7" t="s">
        <v>693</v>
      </c>
      <c r="E612" s="4" t="s">
        <v>78</v>
      </c>
      <c r="F612" s="9" t="s">
        <v>79</v>
      </c>
      <c r="G612" s="4">
        <v>609</v>
      </c>
      <c r="H612" s="4">
        <v>104</v>
      </c>
      <c r="I612" s="4" t="s">
        <v>934</v>
      </c>
      <c r="J612" s="4" t="str">
        <f t="shared" si="18"/>
        <v>6106050002</v>
      </c>
      <c r="K612" s="1" t="s">
        <v>12</v>
      </c>
      <c r="L612" s="4" t="s">
        <v>176</v>
      </c>
      <c r="M612" s="8" t="s">
        <v>906</v>
      </c>
      <c r="N612" s="4" t="str">
        <f t="shared" si="19"/>
        <v>('1608','RPT_009', 'LabaTrialBalance3rdSegment', '6106050002 - Beban Operasional - Komisaris', 'Beban Usaha', 'Beban umum dan administrasi', '609', '104', 'AND ma.main_account_id IN (6106050002)', 'G', 'Beban pejabat non-pegawai', 0, 0),</v>
      </c>
    </row>
    <row r="613" spans="1:14" x14ac:dyDescent="0.3">
      <c r="A613" s="4">
        <v>1609</v>
      </c>
      <c r="B613" s="4" t="s">
        <v>177</v>
      </c>
      <c r="C613" s="4" t="s">
        <v>178</v>
      </c>
      <c r="D613" s="5" t="s">
        <v>59</v>
      </c>
      <c r="E613" s="4" t="s">
        <v>78</v>
      </c>
      <c r="F613" s="9" t="s">
        <v>79</v>
      </c>
      <c r="G613" s="4">
        <v>610</v>
      </c>
      <c r="H613" s="4">
        <v>105</v>
      </c>
      <c r="I613" s="4" t="s">
        <v>934</v>
      </c>
      <c r="J613" s="4" t="str">
        <f t="shared" si="18"/>
        <v>6107000000</v>
      </c>
      <c r="K613" s="1" t="s">
        <v>12</v>
      </c>
      <c r="L613" s="4" t="s">
        <v>176</v>
      </c>
      <c r="M613" s="8" t="s">
        <v>907</v>
      </c>
      <c r="N613" s="4" t="str">
        <f t="shared" si="19"/>
        <v>('1609','RPT_009', 'LabaTrialBalance3rdSegment', '6107000000 -  Beban imbalan pasca kerja', 'Beban Usaha', 'Beban umum dan administrasi', '610', '105', 'AND ma.main_account_id IN (6107000000)', 'G', 'Beban imbalan pasca kerja', 0, 0),</v>
      </c>
    </row>
    <row r="614" spans="1:14" x14ac:dyDescent="0.3">
      <c r="A614" s="4">
        <v>1610</v>
      </c>
      <c r="B614" s="4" t="s">
        <v>177</v>
      </c>
      <c r="C614" s="4" t="s">
        <v>178</v>
      </c>
      <c r="D614" s="6" t="s">
        <v>694</v>
      </c>
      <c r="E614" s="4" t="s">
        <v>78</v>
      </c>
      <c r="F614" s="9" t="s">
        <v>79</v>
      </c>
      <c r="G614" s="4">
        <v>611</v>
      </c>
      <c r="H614" s="4">
        <v>106</v>
      </c>
      <c r="I614" s="4" t="s">
        <v>934</v>
      </c>
      <c r="J614" s="4" t="str">
        <f t="shared" si="18"/>
        <v>6107010000</v>
      </c>
      <c r="K614" s="1" t="s">
        <v>12</v>
      </c>
      <c r="L614" s="4" t="s">
        <v>176</v>
      </c>
      <c r="M614" s="8" t="s">
        <v>907</v>
      </c>
      <c r="N614" s="4" t="str">
        <f t="shared" si="19"/>
        <v>('1610','RPT_009', 'LabaTrialBalance3rdSegment', '6107010000 -  Imbalan Pasca Kerja', 'Beban Usaha', 'Beban umum dan administrasi', '611', '106', 'AND ma.main_account_id IN (6107010000)', 'G', 'Beban imbalan pasca kerja', 0, 0),</v>
      </c>
    </row>
    <row r="615" spans="1:14" x14ac:dyDescent="0.3">
      <c r="A615" s="4">
        <v>1611</v>
      </c>
      <c r="B615" s="4" t="s">
        <v>177</v>
      </c>
      <c r="C615" s="4" t="s">
        <v>178</v>
      </c>
      <c r="D615" s="7" t="s">
        <v>695</v>
      </c>
      <c r="E615" s="4" t="s">
        <v>78</v>
      </c>
      <c r="F615" s="9" t="s">
        <v>79</v>
      </c>
      <c r="G615" s="4">
        <v>612</v>
      </c>
      <c r="H615" s="4">
        <v>107</v>
      </c>
      <c r="I615" s="4" t="s">
        <v>934</v>
      </c>
      <c r="J615" s="4" t="str">
        <f t="shared" si="18"/>
        <v>6107010004</v>
      </c>
      <c r="K615" s="1" t="s">
        <v>12</v>
      </c>
      <c r="L615" s="4" t="s">
        <v>176</v>
      </c>
      <c r="M615" s="8" t="s">
        <v>907</v>
      </c>
      <c r="N615" s="4" t="str">
        <f t="shared" si="19"/>
        <v>('1611','RPT_009', 'LabaTrialBalance3rdSegment', '6107010004 - Dana Pensiun', 'Beban Usaha', 'Beban umum dan administrasi', '612', '107', 'AND ma.main_account_id IN (6107010004)', 'G', 'Beban imbalan pasca kerja', 0, 0),</v>
      </c>
    </row>
    <row r="616" spans="1:14" x14ac:dyDescent="0.3">
      <c r="A616" s="4">
        <v>1612</v>
      </c>
      <c r="B616" s="4" t="s">
        <v>177</v>
      </c>
      <c r="C616" s="4" t="s">
        <v>178</v>
      </c>
      <c r="D616" s="6" t="s">
        <v>696</v>
      </c>
      <c r="E616" s="4" t="s">
        <v>78</v>
      </c>
      <c r="F616" s="9" t="s">
        <v>79</v>
      </c>
      <c r="G616" s="4">
        <v>613</v>
      </c>
      <c r="H616" s="4">
        <v>108</v>
      </c>
      <c r="I616" s="4" t="s">
        <v>934</v>
      </c>
      <c r="J616" s="4" t="str">
        <f t="shared" si="18"/>
        <v>6107020000</v>
      </c>
      <c r="K616" s="1" t="s">
        <v>12</v>
      </c>
      <c r="L616" s="4" t="s">
        <v>176</v>
      </c>
      <c r="M616" s="8" t="s">
        <v>907</v>
      </c>
      <c r="N616" s="4" t="str">
        <f t="shared" si="19"/>
        <v>('1612','RPT_009', 'LabaTrialBalance3rdSegment', '6107020000 -  Penghargaan Pengabdian', 'Beban Usaha', 'Beban umum dan administrasi', '613', '108', 'AND ma.main_account_id IN (6107020000)', 'G', 'Beban imbalan pasca kerja', 0, 0),</v>
      </c>
    </row>
    <row r="617" spans="1:14" ht="27" x14ac:dyDescent="0.3">
      <c r="A617" s="4">
        <v>1613</v>
      </c>
      <c r="B617" s="4" t="s">
        <v>177</v>
      </c>
      <c r="C617" s="4" t="s">
        <v>178</v>
      </c>
      <c r="D617" s="7" t="s">
        <v>697</v>
      </c>
      <c r="E617" s="4" t="s">
        <v>78</v>
      </c>
      <c r="F617" s="9" t="s">
        <v>79</v>
      </c>
      <c r="G617" s="4">
        <v>614</v>
      </c>
      <c r="H617" s="4">
        <v>109</v>
      </c>
      <c r="I617" s="4" t="s">
        <v>934</v>
      </c>
      <c r="J617" s="4" t="str">
        <f t="shared" si="18"/>
        <v>6107020001</v>
      </c>
      <c r="K617" s="1" t="s">
        <v>12</v>
      </c>
      <c r="L617" s="4" t="s">
        <v>176</v>
      </c>
      <c r="M617" s="8" t="s">
        <v>907</v>
      </c>
      <c r="N617" s="4" t="str">
        <f t="shared" si="19"/>
        <v>('1613','RPT_009', 'LabaTrialBalance3rdSegment', '6107020001 - Beban Penghargaan Pengabdian', 'Beban Usaha', 'Beban umum dan administrasi', '614', '109', 'AND ma.main_account_id IN (6107020001)', 'G', 'Beban imbalan pasca kerja', 0, 0),</v>
      </c>
    </row>
    <row r="618" spans="1:14" ht="31.2" x14ac:dyDescent="0.3">
      <c r="A618" s="4">
        <v>1614</v>
      </c>
      <c r="B618" s="4" t="s">
        <v>177</v>
      </c>
      <c r="C618" s="4" t="s">
        <v>178</v>
      </c>
      <c r="D618" s="5" t="s">
        <v>60</v>
      </c>
      <c r="E618" s="4" t="s">
        <v>78</v>
      </c>
      <c r="F618" s="9" t="s">
        <v>79</v>
      </c>
      <c r="G618" s="4">
        <v>615</v>
      </c>
      <c r="H618" s="4">
        <v>110</v>
      </c>
      <c r="I618" s="4" t="s">
        <v>934</v>
      </c>
      <c r="J618" s="4" t="str">
        <f t="shared" si="18"/>
        <v>6108000000</v>
      </c>
      <c r="K618" s="1" t="s">
        <v>12</v>
      </c>
      <c r="L618" s="4" t="s">
        <v>176</v>
      </c>
      <c r="M618" s="8" t="s">
        <v>908</v>
      </c>
      <c r="N618" s="4" t="str">
        <f t="shared" si="19"/>
        <v>('1614','RPT_009', 'LabaTrialBalance3rdSegment', '6108000000 -  Persediaan - Umum dan Administrasi', 'Beban Usaha', 'Beban umum dan administrasi', '615', '110', 'AND ma.main_account_id IN (6108000000)', 'G', 'Persediaan - Umum dan Administrasi', 0, 0),</v>
      </c>
    </row>
    <row r="619" spans="1:14" ht="31.2" x14ac:dyDescent="0.3">
      <c r="A619" s="4">
        <v>1615</v>
      </c>
      <c r="B619" s="4" t="s">
        <v>177</v>
      </c>
      <c r="C619" s="4" t="s">
        <v>178</v>
      </c>
      <c r="D619" s="6" t="s">
        <v>698</v>
      </c>
      <c r="E619" s="4" t="s">
        <v>78</v>
      </c>
      <c r="F619" s="9" t="s">
        <v>79</v>
      </c>
      <c r="G619" s="4">
        <v>616</v>
      </c>
      <c r="H619" s="4">
        <v>111</v>
      </c>
      <c r="I619" s="4" t="s">
        <v>934</v>
      </c>
      <c r="J619" s="4" t="str">
        <f t="shared" si="18"/>
        <v>6108010000</v>
      </c>
      <c r="K619" s="1" t="s">
        <v>12</v>
      </c>
      <c r="L619" s="4" t="s">
        <v>176</v>
      </c>
      <c r="M619" s="8" t="s">
        <v>908</v>
      </c>
      <c r="N619" s="4" t="str">
        <f t="shared" si="19"/>
        <v>('1615','RPT_009', 'LabaTrialBalance3rdSegment', '6108010000 -  Beban Persediaan Alat Kantor dan Percetakan', 'Beban Usaha', 'Beban umum dan administrasi', '616', '111', 'AND ma.main_account_id IN (6108010000)', 'G', 'Persediaan - Umum dan Administrasi', 0, 0),</v>
      </c>
    </row>
    <row r="620" spans="1:14" ht="31.2" x14ac:dyDescent="0.3">
      <c r="A620" s="4">
        <v>1616</v>
      </c>
      <c r="B620" s="4" t="s">
        <v>177</v>
      </c>
      <c r="C620" s="4" t="s">
        <v>178</v>
      </c>
      <c r="D620" s="7" t="s">
        <v>699</v>
      </c>
      <c r="E620" s="4" t="s">
        <v>78</v>
      </c>
      <c r="F620" s="9" t="s">
        <v>79</v>
      </c>
      <c r="G620" s="4">
        <v>617</v>
      </c>
      <c r="H620" s="4">
        <v>112</v>
      </c>
      <c r="I620" s="4" t="s">
        <v>934</v>
      </c>
      <c r="J620" s="4" t="str">
        <f t="shared" si="18"/>
        <v>6108010001</v>
      </c>
      <c r="K620" s="1" t="s">
        <v>12</v>
      </c>
      <c r="L620" s="4" t="s">
        <v>176</v>
      </c>
      <c r="M620" s="8" t="s">
        <v>908</v>
      </c>
      <c r="N620" s="4" t="str">
        <f t="shared" si="19"/>
        <v>('1616','RPT_009', 'LabaTrialBalance3rdSegment', '6108010001 - Beban Persediaan Alat Kantor dan Percetakan', 'Beban Usaha', 'Beban umum dan administrasi', '617', '112', 'AND ma.main_account_id IN (6108010001)', 'G', 'Persediaan - Umum dan Administrasi', 0, 0),</v>
      </c>
    </row>
    <row r="621" spans="1:14" ht="31.2" x14ac:dyDescent="0.3">
      <c r="A621" s="4">
        <v>1617</v>
      </c>
      <c r="B621" s="4" t="s">
        <v>177</v>
      </c>
      <c r="C621" s="4" t="s">
        <v>178</v>
      </c>
      <c r="D621" s="6" t="s">
        <v>700</v>
      </c>
      <c r="E621" s="4" t="s">
        <v>78</v>
      </c>
      <c r="F621" s="9" t="s">
        <v>79</v>
      </c>
      <c r="G621" s="4">
        <v>618</v>
      </c>
      <c r="H621" s="4">
        <v>113</v>
      </c>
      <c r="I621" s="4" t="s">
        <v>934</v>
      </c>
      <c r="J621" s="4" t="str">
        <f t="shared" si="18"/>
        <v>6108020000</v>
      </c>
      <c r="K621" s="1" t="s">
        <v>12</v>
      </c>
      <c r="L621" s="4" t="s">
        <v>176</v>
      </c>
      <c r="M621" s="8" t="s">
        <v>908</v>
      </c>
      <c r="N621" s="4" t="str">
        <f t="shared" si="19"/>
        <v>('1617','RPT_009', 'LabaTrialBalance3rdSegment', '6108020000 -  Beban Persediaan Bahan Bakar (BBM &amp; Pelumas)', 'Beban Usaha', 'Beban umum dan administrasi', '618', '113', 'AND ma.main_account_id IN (6108020000)', 'G', 'Persediaan - Umum dan Administrasi', 0, 0),</v>
      </c>
    </row>
    <row r="622" spans="1:14" ht="31.2" x14ac:dyDescent="0.3">
      <c r="A622" s="4">
        <v>1618</v>
      </c>
      <c r="B622" s="4" t="s">
        <v>177</v>
      </c>
      <c r="C622" s="4" t="s">
        <v>178</v>
      </c>
      <c r="D622" s="7" t="s">
        <v>701</v>
      </c>
      <c r="E622" s="4" t="s">
        <v>78</v>
      </c>
      <c r="F622" s="9" t="s">
        <v>79</v>
      </c>
      <c r="G622" s="4">
        <v>619</v>
      </c>
      <c r="H622" s="4">
        <v>114</v>
      </c>
      <c r="I622" s="4" t="s">
        <v>934</v>
      </c>
      <c r="J622" s="4" t="str">
        <f t="shared" si="18"/>
        <v>6108020001</v>
      </c>
      <c r="K622" s="1" t="s">
        <v>12</v>
      </c>
      <c r="L622" s="4" t="s">
        <v>176</v>
      </c>
      <c r="M622" s="8" t="s">
        <v>908</v>
      </c>
      <c r="N622" s="4" t="str">
        <f t="shared" si="19"/>
        <v>('1618','RPT_009', 'LabaTrialBalance3rdSegment', '6108020001 - Beban Persediaan Bahan Bakar dan Pelumas', 'Beban Usaha', 'Beban umum dan administrasi', '619', '114', 'AND ma.main_account_id IN (6108020001)', 'G', 'Persediaan - Umum dan Administrasi', 0, 0),</v>
      </c>
    </row>
    <row r="623" spans="1:14" ht="31.2" x14ac:dyDescent="0.3">
      <c r="A623" s="4">
        <v>1619</v>
      </c>
      <c r="B623" s="4" t="s">
        <v>177</v>
      </c>
      <c r="C623" s="4" t="s">
        <v>178</v>
      </c>
      <c r="D623" s="6" t="s">
        <v>702</v>
      </c>
      <c r="E623" s="4" t="s">
        <v>78</v>
      </c>
      <c r="F623" s="9" t="s">
        <v>79</v>
      </c>
      <c r="G623" s="4">
        <v>620</v>
      </c>
      <c r="H623" s="4">
        <v>115</v>
      </c>
      <c r="I623" s="4" t="s">
        <v>934</v>
      </c>
      <c r="J623" s="4" t="str">
        <f t="shared" si="18"/>
        <v>6108030000</v>
      </c>
      <c r="K623" s="1" t="s">
        <v>12</v>
      </c>
      <c r="L623" s="4" t="s">
        <v>176</v>
      </c>
      <c r="M623" s="8" t="s">
        <v>908</v>
      </c>
      <c r="N623" s="4" t="str">
        <f t="shared" si="19"/>
        <v>('1619','RPT_009', 'LabaTrialBalance3rdSegment', '6108030000 -  Beban Persediaan Pemeliharaan', 'Beban Usaha', 'Beban umum dan administrasi', '620', '115', 'AND ma.main_account_id IN (6108030000)', 'G', 'Persediaan - Umum dan Administrasi', 0, 0),</v>
      </c>
    </row>
    <row r="624" spans="1:14" ht="31.2" x14ac:dyDescent="0.3">
      <c r="A624" s="4">
        <v>1620</v>
      </c>
      <c r="B624" s="4" t="s">
        <v>177</v>
      </c>
      <c r="C624" s="4" t="s">
        <v>178</v>
      </c>
      <c r="D624" s="7" t="s">
        <v>703</v>
      </c>
      <c r="E624" s="4" t="s">
        <v>78</v>
      </c>
      <c r="F624" s="9" t="s">
        <v>79</v>
      </c>
      <c r="G624" s="4">
        <v>621</v>
      </c>
      <c r="H624" s="4">
        <v>116</v>
      </c>
      <c r="I624" s="4" t="s">
        <v>934</v>
      </c>
      <c r="J624" s="4" t="str">
        <f t="shared" si="18"/>
        <v>6108030002</v>
      </c>
      <c r="K624" s="1" t="s">
        <v>12</v>
      </c>
      <c r="L624" s="4" t="s">
        <v>176</v>
      </c>
      <c r="M624" s="8" t="s">
        <v>908</v>
      </c>
      <c r="N624" s="4" t="str">
        <f t="shared" si="19"/>
        <v>('1620','RPT_009', 'LabaTrialBalance3rdSegment', '6108030002 - Beban Persediaan Pemeliharaan Equipment', 'Beban Usaha', 'Beban umum dan administrasi', '621', '116', 'AND ma.main_account_id IN (6108030002)', 'G', 'Persediaan - Umum dan Administrasi', 0, 0),</v>
      </c>
    </row>
    <row r="625" spans="1:14" ht="31.2" x14ac:dyDescent="0.3">
      <c r="A625" s="4">
        <v>1621</v>
      </c>
      <c r="B625" s="4" t="s">
        <v>177</v>
      </c>
      <c r="C625" s="4" t="s">
        <v>178</v>
      </c>
      <c r="D625" s="7" t="s">
        <v>704</v>
      </c>
      <c r="E625" s="4" t="s">
        <v>78</v>
      </c>
      <c r="F625" s="9" t="s">
        <v>79</v>
      </c>
      <c r="G625" s="4">
        <v>622</v>
      </c>
      <c r="H625" s="4">
        <v>117</v>
      </c>
      <c r="I625" s="4" t="s">
        <v>934</v>
      </c>
      <c r="J625" s="4" t="str">
        <f t="shared" si="18"/>
        <v>6108030099</v>
      </c>
      <c r="K625" s="1" t="s">
        <v>12</v>
      </c>
      <c r="L625" s="4" t="s">
        <v>176</v>
      </c>
      <c r="M625" s="8" t="s">
        <v>908</v>
      </c>
      <c r="N625" s="4" t="str">
        <f t="shared" si="19"/>
        <v>('1621','RPT_009', 'LabaTrialBalance3rdSegment', '6108030099 - Beban Persediaan Pemeliharaan Lainnya', 'Beban Usaha', 'Beban umum dan administrasi', '622', '117', 'AND ma.main_account_id IN (6108030099)', 'G', 'Persediaan - Umum dan Administrasi', 0, 0),</v>
      </c>
    </row>
    <row r="626" spans="1:14" ht="31.2" x14ac:dyDescent="0.3">
      <c r="A626" s="4">
        <v>1622</v>
      </c>
      <c r="B626" s="4" t="s">
        <v>177</v>
      </c>
      <c r="C626" s="4" t="s">
        <v>178</v>
      </c>
      <c r="D626" s="5" t="s">
        <v>61</v>
      </c>
      <c r="E626" s="4" t="s">
        <v>78</v>
      </c>
      <c r="F626" s="9" t="s">
        <v>79</v>
      </c>
      <c r="G626" s="4">
        <v>623</v>
      </c>
      <c r="H626" s="4">
        <v>118</v>
      </c>
      <c r="I626" s="4" t="s">
        <v>934</v>
      </c>
      <c r="J626" s="4" t="str">
        <f t="shared" si="18"/>
        <v>6110000000</v>
      </c>
      <c r="K626" s="1" t="s">
        <v>12</v>
      </c>
      <c r="L626" s="4" t="s">
        <v>176</v>
      </c>
      <c r="M626" s="8" t="s">
        <v>909</v>
      </c>
      <c r="N626" s="4" t="str">
        <f t="shared" si="19"/>
        <v>('1622','RPT_009', 'LabaTrialBalance3rdSegment', '6110000000 -  Pajak dan retribusi pemerintah lainnya', 'Beban Usaha', 'Beban umum dan administrasi', '623', '118', 'AND ma.main_account_id IN (6110000000)', 'G', 'Pajak dan retribusi pemerintah lainnya', 0, 0),</v>
      </c>
    </row>
    <row r="627" spans="1:14" ht="31.2" x14ac:dyDescent="0.3">
      <c r="A627" s="4">
        <v>1623</v>
      </c>
      <c r="B627" s="4" t="s">
        <v>177</v>
      </c>
      <c r="C627" s="4" t="s">
        <v>178</v>
      </c>
      <c r="D627" s="6" t="s">
        <v>705</v>
      </c>
      <c r="E627" s="4" t="s">
        <v>78</v>
      </c>
      <c r="F627" s="9" t="s">
        <v>79</v>
      </c>
      <c r="G627" s="4">
        <v>624</v>
      </c>
      <c r="H627" s="4">
        <v>119</v>
      </c>
      <c r="I627" s="4" t="s">
        <v>934</v>
      </c>
      <c r="J627" s="4" t="str">
        <f t="shared" si="18"/>
        <v>6110010000</v>
      </c>
      <c r="K627" s="1" t="s">
        <v>12</v>
      </c>
      <c r="L627" s="4" t="s">
        <v>176</v>
      </c>
      <c r="M627" s="8" t="s">
        <v>909</v>
      </c>
      <c r="N627" s="4" t="str">
        <f t="shared" si="19"/>
        <v>('1623','RPT_009', 'LabaTrialBalance3rdSegment', '6110010000 -  Pajak Pemerintah Pusat', 'Beban Usaha', 'Beban umum dan administrasi', '624', '119', 'AND ma.main_account_id IN (6110010000)', 'G', 'Pajak dan retribusi pemerintah lainnya', 0, 0),</v>
      </c>
    </row>
    <row r="628" spans="1:14" ht="31.2" x14ac:dyDescent="0.3">
      <c r="A628" s="4">
        <v>1624</v>
      </c>
      <c r="B628" s="4" t="s">
        <v>177</v>
      </c>
      <c r="C628" s="4" t="s">
        <v>178</v>
      </c>
      <c r="D628" s="7" t="s">
        <v>706</v>
      </c>
      <c r="E628" s="4" t="s">
        <v>78</v>
      </c>
      <c r="F628" s="9" t="s">
        <v>79</v>
      </c>
      <c r="G628" s="4">
        <v>625</v>
      </c>
      <c r="H628" s="4">
        <v>120</v>
      </c>
      <c r="I628" s="4" t="s">
        <v>934</v>
      </c>
      <c r="J628" s="4" t="str">
        <f t="shared" si="18"/>
        <v>6110010001</v>
      </c>
      <c r="K628" s="1" t="s">
        <v>12</v>
      </c>
      <c r="L628" s="4" t="s">
        <v>176</v>
      </c>
      <c r="M628" s="8" t="s">
        <v>909</v>
      </c>
      <c r="N628" s="4" t="str">
        <f t="shared" si="19"/>
        <v>('1624','RPT_009', 'LabaTrialBalance3rdSegment', '6110010001 - Beban Denda Pajak Pemerintah Pusat', 'Beban Usaha', 'Beban umum dan administrasi', '625', '120', 'AND ma.main_account_id IN (6110010001)', 'G', 'Pajak dan retribusi pemerintah lainnya', 0, 0),</v>
      </c>
    </row>
    <row r="629" spans="1:14" ht="31.2" x14ac:dyDescent="0.3">
      <c r="A629" s="4">
        <v>1625</v>
      </c>
      <c r="B629" s="4" t="s">
        <v>177</v>
      </c>
      <c r="C629" s="4" t="s">
        <v>178</v>
      </c>
      <c r="D629" s="6" t="s">
        <v>707</v>
      </c>
      <c r="E629" s="4" t="s">
        <v>78</v>
      </c>
      <c r="F629" s="9" t="s">
        <v>79</v>
      </c>
      <c r="G629" s="4">
        <v>626</v>
      </c>
      <c r="H629" s="4">
        <v>121</v>
      </c>
      <c r="I629" s="4" t="s">
        <v>934</v>
      </c>
      <c r="J629" s="4" t="str">
        <f t="shared" si="18"/>
        <v>6110020000</v>
      </c>
      <c r="K629" s="1" t="s">
        <v>12</v>
      </c>
      <c r="L629" s="4" t="s">
        <v>176</v>
      </c>
      <c r="M629" s="8" t="s">
        <v>909</v>
      </c>
      <c r="N629" s="4" t="str">
        <f t="shared" si="19"/>
        <v>('1625','RPT_009', 'LabaTrialBalance3rdSegment', '6110020000 -  Pajak Pemerintah Daerah', 'Beban Usaha', 'Beban umum dan administrasi', '626', '121', 'AND ma.main_account_id IN (6110020000)', 'G', 'Pajak dan retribusi pemerintah lainnya', 0, 0),</v>
      </c>
    </row>
    <row r="630" spans="1:14" ht="31.2" x14ac:dyDescent="0.3">
      <c r="A630" s="4">
        <v>1626</v>
      </c>
      <c r="B630" s="4" t="s">
        <v>177</v>
      </c>
      <c r="C630" s="4" t="s">
        <v>178</v>
      </c>
      <c r="D630" s="7" t="s">
        <v>708</v>
      </c>
      <c r="E630" s="4" t="s">
        <v>78</v>
      </c>
      <c r="F630" s="9" t="s">
        <v>79</v>
      </c>
      <c r="G630" s="4">
        <v>627</v>
      </c>
      <c r="H630" s="4">
        <v>122</v>
      </c>
      <c r="I630" s="4" t="s">
        <v>934</v>
      </c>
      <c r="J630" s="4" t="str">
        <f t="shared" si="18"/>
        <v>6110020001</v>
      </c>
      <c r="K630" s="1" t="s">
        <v>12</v>
      </c>
      <c r="L630" s="4" t="s">
        <v>176</v>
      </c>
      <c r="M630" s="8" t="s">
        <v>909</v>
      </c>
      <c r="N630" s="4" t="str">
        <f t="shared" si="19"/>
        <v>('1626','RPT_009', 'LabaTrialBalance3rdSegment', '6110020001 - Beban Denda Pajak Pemerintah Daerah', 'Beban Usaha', 'Beban umum dan administrasi', '627', '122', 'AND ma.main_account_id IN (6110020001)', 'G', 'Pajak dan retribusi pemerintah lainnya', 0, 0),</v>
      </c>
    </row>
    <row r="631" spans="1:14" ht="31.2" x14ac:dyDescent="0.3">
      <c r="A631" s="4">
        <v>1627</v>
      </c>
      <c r="B631" s="4" t="s">
        <v>177</v>
      </c>
      <c r="C631" s="4" t="s">
        <v>178</v>
      </c>
      <c r="D631" s="7" t="s">
        <v>709</v>
      </c>
      <c r="E631" s="4" t="s">
        <v>78</v>
      </c>
      <c r="F631" s="9" t="s">
        <v>79</v>
      </c>
      <c r="G631" s="4">
        <v>628</v>
      </c>
      <c r="H631" s="4">
        <v>123</v>
      </c>
      <c r="I631" s="4" t="s">
        <v>934</v>
      </c>
      <c r="J631" s="4" t="str">
        <f t="shared" si="18"/>
        <v>6110020003</v>
      </c>
      <c r="K631" s="1" t="s">
        <v>12</v>
      </c>
      <c r="L631" s="4" t="s">
        <v>176</v>
      </c>
      <c r="M631" s="8" t="s">
        <v>909</v>
      </c>
      <c r="N631" s="4" t="str">
        <f t="shared" si="19"/>
        <v>('1627','RPT_009', 'LabaTrialBalance3rdSegment', '6110020003 - Beban Pajak Bumi &amp; Bangunan (PBB)', 'Beban Usaha', 'Beban umum dan administrasi', '628', '123', 'AND ma.main_account_id IN (6110020003)', 'G', 'Pajak dan retribusi pemerintah lainnya', 0, 0),</v>
      </c>
    </row>
    <row r="632" spans="1:14" ht="31.2" x14ac:dyDescent="0.3">
      <c r="A632" s="4">
        <v>1628</v>
      </c>
      <c r="B632" s="4" t="s">
        <v>177</v>
      </c>
      <c r="C632" s="4" t="s">
        <v>178</v>
      </c>
      <c r="D632" s="7" t="s">
        <v>710</v>
      </c>
      <c r="E632" s="4" t="s">
        <v>78</v>
      </c>
      <c r="F632" s="9" t="s">
        <v>79</v>
      </c>
      <c r="G632" s="4">
        <v>629</v>
      </c>
      <c r="H632" s="4">
        <v>124</v>
      </c>
      <c r="I632" s="4" t="s">
        <v>934</v>
      </c>
      <c r="J632" s="4" t="str">
        <f t="shared" si="18"/>
        <v>6110020004</v>
      </c>
      <c r="K632" s="1" t="s">
        <v>12</v>
      </c>
      <c r="L632" s="4" t="s">
        <v>176</v>
      </c>
      <c r="M632" s="8" t="s">
        <v>909</v>
      </c>
      <c r="N632" s="4" t="str">
        <f t="shared" si="19"/>
        <v>('1628','RPT_009', 'LabaTrialBalance3rdSegment', '6110020004 - Beban Pajak Kendaraan Bermotor', 'Beban Usaha', 'Beban umum dan administrasi', '629', '124', 'AND ma.main_account_id IN (6110020004)', 'G', 'Pajak dan retribusi pemerintah lainnya', 0, 0),</v>
      </c>
    </row>
    <row r="633" spans="1:14" ht="31.2" x14ac:dyDescent="0.3">
      <c r="A633" s="4">
        <v>1629</v>
      </c>
      <c r="B633" s="4" t="s">
        <v>177</v>
      </c>
      <c r="C633" s="4" t="s">
        <v>178</v>
      </c>
      <c r="D633" s="7" t="s">
        <v>711</v>
      </c>
      <c r="E633" s="4" t="s">
        <v>78</v>
      </c>
      <c r="F633" s="9" t="s">
        <v>79</v>
      </c>
      <c r="G633" s="4">
        <v>630</v>
      </c>
      <c r="H633" s="4">
        <v>125</v>
      </c>
      <c r="I633" s="4" t="s">
        <v>934</v>
      </c>
      <c r="J633" s="4" t="str">
        <f t="shared" si="18"/>
        <v>6110020005</v>
      </c>
      <c r="K633" s="1" t="s">
        <v>12</v>
      </c>
      <c r="L633" s="4" t="s">
        <v>176</v>
      </c>
      <c r="M633" s="8" t="s">
        <v>909</v>
      </c>
      <c r="N633" s="4" t="str">
        <f t="shared" si="19"/>
        <v>('1629','RPT_009', 'LabaTrialBalance3rdSegment', '6110020005 - Beban Pajak Reklame', 'Beban Usaha', 'Beban umum dan administrasi', '630', '125', 'AND ma.main_account_id IN (6110020005)', 'G', 'Pajak dan retribusi pemerintah lainnya', 0, 0),</v>
      </c>
    </row>
    <row r="634" spans="1:14" ht="31.2" x14ac:dyDescent="0.3">
      <c r="A634" s="4">
        <v>1630</v>
      </c>
      <c r="B634" s="4" t="s">
        <v>177</v>
      </c>
      <c r="C634" s="4" t="s">
        <v>178</v>
      </c>
      <c r="D634" s="7" t="s">
        <v>712</v>
      </c>
      <c r="E634" s="4" t="s">
        <v>78</v>
      </c>
      <c r="F634" s="9" t="s">
        <v>79</v>
      </c>
      <c r="G634" s="4">
        <v>631</v>
      </c>
      <c r="H634" s="4">
        <v>126</v>
      </c>
      <c r="I634" s="4" t="s">
        <v>934</v>
      </c>
      <c r="J634" s="4" t="str">
        <f t="shared" si="18"/>
        <v>6110020006</v>
      </c>
      <c r="K634" s="1" t="s">
        <v>12</v>
      </c>
      <c r="L634" s="4" t="s">
        <v>176</v>
      </c>
      <c r="M634" s="8" t="s">
        <v>909</v>
      </c>
      <c r="N634" s="4" t="str">
        <f t="shared" si="19"/>
        <v>('1630','RPT_009', 'LabaTrialBalance3rdSegment', '6110020006 - Beban Pajak pemerintah daerah lainnya', 'Beban Usaha', 'Beban umum dan administrasi', '631', '126', 'AND ma.main_account_id IN (6110020006)', 'G', 'Pajak dan retribusi pemerintah lainnya', 0, 0),</v>
      </c>
    </row>
    <row r="635" spans="1:14" x14ac:dyDescent="0.3">
      <c r="A635" s="4">
        <v>1631</v>
      </c>
      <c r="B635" s="4" t="s">
        <v>177</v>
      </c>
      <c r="C635" s="4" t="s">
        <v>178</v>
      </c>
      <c r="D635" s="5" t="s">
        <v>62</v>
      </c>
      <c r="E635" s="4" t="s">
        <v>78</v>
      </c>
      <c r="F635" s="9" t="s">
        <v>79</v>
      </c>
      <c r="G635" s="4">
        <v>632</v>
      </c>
      <c r="H635" s="4">
        <v>127</v>
      </c>
      <c r="I635" s="4" t="s">
        <v>934</v>
      </c>
      <c r="J635" s="4" t="str">
        <f t="shared" si="18"/>
        <v>6111000000</v>
      </c>
      <c r="K635" s="1" t="s">
        <v>12</v>
      </c>
      <c r="L635" s="4" t="s">
        <v>176</v>
      </c>
      <c r="M635" s="8" t="s">
        <v>910</v>
      </c>
      <c r="N635" s="4" t="str">
        <f t="shared" si="19"/>
        <v>('1631','RPT_009', 'LabaTrialBalance3rdSegment', '6111000000 -  Beban Asuransi', 'Beban Usaha', 'Beban umum dan administrasi', '632', '127', 'AND ma.main_account_id IN (6111000000)', 'G', 'Beban Asuransi', 0, 0),</v>
      </c>
    </row>
    <row r="636" spans="1:14" x14ac:dyDescent="0.3">
      <c r="A636" s="4">
        <v>1632</v>
      </c>
      <c r="B636" s="4" t="s">
        <v>177</v>
      </c>
      <c r="C636" s="4" t="s">
        <v>178</v>
      </c>
      <c r="D636" s="6" t="s">
        <v>713</v>
      </c>
      <c r="E636" s="4" t="s">
        <v>78</v>
      </c>
      <c r="F636" s="9" t="s">
        <v>79</v>
      </c>
      <c r="G636" s="4">
        <v>633</v>
      </c>
      <c r="H636" s="4">
        <v>128</v>
      </c>
      <c r="I636" s="4" t="s">
        <v>934</v>
      </c>
      <c r="J636" s="4" t="str">
        <f t="shared" si="18"/>
        <v>6111010000</v>
      </c>
      <c r="K636" s="1" t="s">
        <v>12</v>
      </c>
      <c r="L636" s="4" t="s">
        <v>176</v>
      </c>
      <c r="M636" s="8" t="s">
        <v>910</v>
      </c>
      <c r="N636" s="4" t="str">
        <f t="shared" si="19"/>
        <v>('1632','RPT_009', 'LabaTrialBalance3rdSegment', '6111010000 -  Beban asuransi aset', 'Beban Usaha', 'Beban umum dan administrasi', '633', '128', 'AND ma.main_account_id IN (6111010000)', 'G', 'Beban Asuransi', 0, 0),</v>
      </c>
    </row>
    <row r="637" spans="1:14" x14ac:dyDescent="0.3">
      <c r="A637" s="4">
        <v>1633</v>
      </c>
      <c r="B637" s="4" t="s">
        <v>177</v>
      </c>
      <c r="C637" s="4" t="s">
        <v>178</v>
      </c>
      <c r="D637" s="7" t="s">
        <v>714</v>
      </c>
      <c r="E637" s="4" t="s">
        <v>78</v>
      </c>
      <c r="F637" s="9" t="s">
        <v>79</v>
      </c>
      <c r="G637" s="4">
        <v>634</v>
      </c>
      <c r="H637" s="4">
        <v>129</v>
      </c>
      <c r="I637" s="4" t="s">
        <v>934</v>
      </c>
      <c r="J637" s="4" t="str">
        <f t="shared" si="18"/>
        <v>6111010001</v>
      </c>
      <c r="K637" s="1" t="s">
        <v>12</v>
      </c>
      <c r="L637" s="4" t="s">
        <v>176</v>
      </c>
      <c r="M637" s="8" t="s">
        <v>910</v>
      </c>
      <c r="N637" s="4" t="str">
        <f t="shared" si="19"/>
        <v>('1633','RPT_009', 'LabaTrialBalance3rdSegment', '6111010001 - Beban Asuransi Aset', 'Beban Usaha', 'Beban umum dan administrasi', '634', '129', 'AND ma.main_account_id IN (6111010001)', 'G', 'Beban Asuransi', 0, 0),</v>
      </c>
    </row>
    <row r="638" spans="1:14" x14ac:dyDescent="0.3">
      <c r="A638" s="4">
        <v>1634</v>
      </c>
      <c r="B638" s="4" t="s">
        <v>177</v>
      </c>
      <c r="C638" s="4" t="s">
        <v>178</v>
      </c>
      <c r="D638" s="5" t="s">
        <v>63</v>
      </c>
      <c r="E638" s="4" t="s">
        <v>78</v>
      </c>
      <c r="F638" s="9" t="s">
        <v>79</v>
      </c>
      <c r="G638" s="4">
        <v>635</v>
      </c>
      <c r="H638" s="4">
        <v>130</v>
      </c>
      <c r="I638" s="4" t="s">
        <v>934</v>
      </c>
      <c r="J638" s="4" t="str">
        <f t="shared" si="18"/>
        <v>6112000000</v>
      </c>
      <c r="K638" s="1" t="s">
        <v>12</v>
      </c>
      <c r="L638" s="4" t="s">
        <v>176</v>
      </c>
      <c r="M638" s="8" t="s">
        <v>911</v>
      </c>
      <c r="N638" s="4" t="str">
        <f t="shared" si="19"/>
        <v>('1634','RPT_009', 'LabaTrialBalance3rdSegment', '6112000000 -  Pendidikan dan Pelatihan', 'Beban Usaha', 'Beban umum dan administrasi', '635', '130', 'AND ma.main_account_id IN (6112000000)', 'G', 'Pendidikan dan Pelatihan', 0, 0),</v>
      </c>
    </row>
    <row r="639" spans="1:14" x14ac:dyDescent="0.3">
      <c r="A639" s="4">
        <v>1635</v>
      </c>
      <c r="B639" s="4" t="s">
        <v>177</v>
      </c>
      <c r="C639" s="4" t="s">
        <v>178</v>
      </c>
      <c r="D639" s="6" t="s">
        <v>715</v>
      </c>
      <c r="E639" s="4" t="s">
        <v>78</v>
      </c>
      <c r="F639" s="9" t="s">
        <v>79</v>
      </c>
      <c r="G639" s="4">
        <v>636</v>
      </c>
      <c r="H639" s="4">
        <v>131</v>
      </c>
      <c r="I639" s="4" t="s">
        <v>934</v>
      </c>
      <c r="J639" s="4" t="str">
        <f t="shared" si="18"/>
        <v>6112010000</v>
      </c>
      <c r="K639" s="1" t="s">
        <v>12</v>
      </c>
      <c r="L639" s="4" t="s">
        <v>176</v>
      </c>
      <c r="M639" s="8" t="s">
        <v>911</v>
      </c>
      <c r="N639" s="4" t="str">
        <f t="shared" si="19"/>
        <v>('1635','RPT_009', 'LabaTrialBalance3rdSegment', '6112010000 -  Pendidikan dan pelatihan', 'Beban Usaha', 'Beban umum dan administrasi', '636', '131', 'AND ma.main_account_id IN (6112010000)', 'G', 'Pendidikan dan Pelatihan', 0, 0),</v>
      </c>
    </row>
    <row r="640" spans="1:14" x14ac:dyDescent="0.3">
      <c r="A640" s="4">
        <v>1636</v>
      </c>
      <c r="B640" s="4" t="s">
        <v>177</v>
      </c>
      <c r="C640" s="4" t="s">
        <v>178</v>
      </c>
      <c r="D640" s="7" t="s">
        <v>716</v>
      </c>
      <c r="E640" s="4" t="s">
        <v>78</v>
      </c>
      <c r="F640" s="9" t="s">
        <v>79</v>
      </c>
      <c r="G640" s="4">
        <v>637</v>
      </c>
      <c r="H640" s="4">
        <v>132</v>
      </c>
      <c r="I640" s="4" t="s">
        <v>934</v>
      </c>
      <c r="J640" s="4" t="str">
        <f t="shared" si="18"/>
        <v>6112010001</v>
      </c>
      <c r="K640" s="1" t="s">
        <v>12</v>
      </c>
      <c r="L640" s="4" t="s">
        <v>176</v>
      </c>
      <c r="M640" s="8" t="s">
        <v>911</v>
      </c>
      <c r="N640" s="4" t="str">
        <f t="shared" si="19"/>
        <v>('1636','RPT_009', 'LabaTrialBalance3rdSegment', '6112010001 - Beban Lisensi - Pegawai', 'Beban Usaha', 'Beban umum dan administrasi', '637', '132', 'AND ma.main_account_id IN (6112010001)', 'G', 'Pendidikan dan Pelatihan', 0, 0),</v>
      </c>
    </row>
    <row r="641" spans="1:14" ht="27" x14ac:dyDescent="0.3">
      <c r="A641" s="4">
        <v>1637</v>
      </c>
      <c r="B641" s="4" t="s">
        <v>177</v>
      </c>
      <c r="C641" s="4" t="s">
        <v>178</v>
      </c>
      <c r="D641" s="7" t="s">
        <v>717</v>
      </c>
      <c r="E641" s="4" t="s">
        <v>78</v>
      </c>
      <c r="F641" s="9" t="s">
        <v>79</v>
      </c>
      <c r="G641" s="4">
        <v>638</v>
      </c>
      <c r="H641" s="4">
        <v>133</v>
      </c>
      <c r="I641" s="4" t="s">
        <v>934</v>
      </c>
      <c r="J641" s="4" t="str">
        <f t="shared" si="18"/>
        <v>6112010002</v>
      </c>
      <c r="K641" s="1" t="s">
        <v>12</v>
      </c>
      <c r="L641" s="4" t="s">
        <v>176</v>
      </c>
      <c r="M641" s="8" t="s">
        <v>911</v>
      </c>
      <c r="N641" s="4" t="str">
        <f t="shared" si="19"/>
        <v>('1637','RPT_009', 'LabaTrialBalance3rdSegment', '6112010002 - Beban Pendidikan dan Pelatihan', 'Beban Usaha', 'Beban umum dan administrasi', '638', '133', 'AND ma.main_account_id IN (6112010002)', 'G', 'Pendidikan dan Pelatihan', 0, 0),</v>
      </c>
    </row>
    <row r="642" spans="1:14" x14ac:dyDescent="0.3">
      <c r="A642" s="4">
        <v>1638</v>
      </c>
      <c r="B642" s="4" t="s">
        <v>177</v>
      </c>
      <c r="C642" s="4" t="s">
        <v>178</v>
      </c>
      <c r="D642" s="6" t="s">
        <v>718</v>
      </c>
      <c r="E642" s="4" t="s">
        <v>78</v>
      </c>
      <c r="F642" s="9" t="s">
        <v>79</v>
      </c>
      <c r="G642" s="4">
        <v>639</v>
      </c>
      <c r="H642" s="4">
        <v>134</v>
      </c>
      <c r="I642" s="4" t="s">
        <v>934</v>
      </c>
      <c r="J642" s="4" t="str">
        <f t="shared" si="18"/>
        <v>6112020000</v>
      </c>
      <c r="K642" s="1" t="s">
        <v>12</v>
      </c>
      <c r="L642" s="4" t="s">
        <v>176</v>
      </c>
      <c r="M642" s="8" t="s">
        <v>911</v>
      </c>
      <c r="N642" s="4" t="str">
        <f t="shared" si="19"/>
        <v>('1638','RPT_009', 'LabaTrialBalance3rdSegment', '6112020000 -  Beban Team Screening', 'Beban Usaha', 'Beban umum dan administrasi', '639', '134', 'AND ma.main_account_id IN (6112020000)', 'G', 'Pendidikan dan Pelatihan', 0, 0),</v>
      </c>
    </row>
    <row r="643" spans="1:14" ht="27" x14ac:dyDescent="0.3">
      <c r="A643" s="4">
        <v>1639</v>
      </c>
      <c r="B643" s="4" t="s">
        <v>177</v>
      </c>
      <c r="C643" s="4" t="s">
        <v>178</v>
      </c>
      <c r="D643" s="7" t="s">
        <v>719</v>
      </c>
      <c r="E643" s="4" t="s">
        <v>78</v>
      </c>
      <c r="F643" s="9" t="s">
        <v>79</v>
      </c>
      <c r="G643" s="4">
        <v>640</v>
      </c>
      <c r="H643" s="4">
        <v>135</v>
      </c>
      <c r="I643" s="4" t="s">
        <v>934</v>
      </c>
      <c r="J643" s="4" t="str">
        <f t="shared" si="18"/>
        <v>6112020001</v>
      </c>
      <c r="K643" s="1" t="s">
        <v>12</v>
      </c>
      <c r="L643" s="4" t="s">
        <v>176</v>
      </c>
      <c r="M643" s="8" t="s">
        <v>911</v>
      </c>
      <c r="N643" s="4" t="str">
        <f t="shared" si="19"/>
        <v>('1639','RPT_009', 'LabaTrialBalance3rdSegment', '6112020001 - Beban Rekrutmen - Pegawai', 'Beban Usaha', 'Beban umum dan administrasi', '640', '135', 'AND ma.main_account_id IN (6112020001)', 'G', 'Pendidikan dan Pelatihan', 0, 0),</v>
      </c>
    </row>
    <row r="644" spans="1:14" x14ac:dyDescent="0.3">
      <c r="A644" s="4">
        <v>1640</v>
      </c>
      <c r="B644" s="4" t="s">
        <v>177</v>
      </c>
      <c r="C644" s="4" t="s">
        <v>178</v>
      </c>
      <c r="D644" s="5" t="s">
        <v>64</v>
      </c>
      <c r="E644" s="4" t="s">
        <v>78</v>
      </c>
      <c r="F644" s="9" t="s">
        <v>79</v>
      </c>
      <c r="G644" s="4">
        <v>641</v>
      </c>
      <c r="H644" s="4">
        <v>136</v>
      </c>
      <c r="I644" s="4" t="s">
        <v>934</v>
      </c>
      <c r="J644" s="4" t="str">
        <f t="shared" ref="J644:J707" si="20">_xlfn.TEXTBEFORE(D644," -")</f>
        <v>6113000000</v>
      </c>
      <c r="K644" s="1" t="s">
        <v>12</v>
      </c>
      <c r="L644" s="4" t="s">
        <v>176</v>
      </c>
      <c r="M644" s="8" t="s">
        <v>912</v>
      </c>
      <c r="N644" s="4" t="str">
        <f t="shared" si="19"/>
        <v>('1640','RPT_009', 'LabaTrialBalance3rdSegment', '6113000000 -  Beban perjalanan dinas', 'Beban Usaha', 'Beban umum dan administrasi', '641', '136', 'AND ma.main_account_id IN (6113000000)', 'G', 'Beban perjalanan dinas', 0, 0),</v>
      </c>
    </row>
    <row r="645" spans="1:14" ht="27" x14ac:dyDescent="0.3">
      <c r="A645" s="4">
        <v>1641</v>
      </c>
      <c r="B645" s="4" t="s">
        <v>177</v>
      </c>
      <c r="C645" s="4" t="s">
        <v>178</v>
      </c>
      <c r="D645" s="6" t="s">
        <v>720</v>
      </c>
      <c r="E645" s="4" t="s">
        <v>78</v>
      </c>
      <c r="F645" s="9" t="s">
        <v>79</v>
      </c>
      <c r="G645" s="4">
        <v>642</v>
      </c>
      <c r="H645" s="4">
        <v>137</v>
      </c>
      <c r="I645" s="4" t="s">
        <v>934</v>
      </c>
      <c r="J645" s="4" t="str">
        <f t="shared" si="20"/>
        <v>6113010000</v>
      </c>
      <c r="K645" s="1" t="s">
        <v>12</v>
      </c>
      <c r="L645" s="4" t="s">
        <v>176</v>
      </c>
      <c r="M645" s="8" t="s">
        <v>912</v>
      </c>
      <c r="N645" s="4" t="str">
        <f t="shared" ref="N645:N708" si="21">"('"&amp;A645&amp;"','"&amp;B645&amp;"', '"&amp;C645&amp;"', '"&amp;D645&amp;"', '"&amp;E645&amp;"', '"&amp;F645&amp;"', '"&amp;G645&amp;"', '"&amp;H645&amp;"', '"&amp;I645&amp;J645&amp;K645&amp;"', '"&amp;L645&amp;"', '"&amp;M645&amp;"', 0, 0),"</f>
        <v>('1641','RPT_009', 'LabaTrialBalance3rdSegment', '6113010000 -  Beban perjalanan dinas dalam negeri', 'Beban Usaha', 'Beban umum dan administrasi', '642', '137', 'AND ma.main_account_id IN (6113010000)', 'G', 'Beban perjalanan dinas', 0, 0),</v>
      </c>
    </row>
    <row r="646" spans="1:14" ht="27" x14ac:dyDescent="0.3">
      <c r="A646" s="4">
        <v>1642</v>
      </c>
      <c r="B646" s="4" t="s">
        <v>177</v>
      </c>
      <c r="C646" s="4" t="s">
        <v>178</v>
      </c>
      <c r="D646" s="7" t="s">
        <v>721</v>
      </c>
      <c r="E646" s="4" t="s">
        <v>78</v>
      </c>
      <c r="F646" s="9" t="s">
        <v>79</v>
      </c>
      <c r="G646" s="4">
        <v>643</v>
      </c>
      <c r="H646" s="4">
        <v>138</v>
      </c>
      <c r="I646" s="4" t="s">
        <v>934</v>
      </c>
      <c r="J646" s="4" t="str">
        <f t="shared" si="20"/>
        <v>6113010001</v>
      </c>
      <c r="K646" s="1" t="s">
        <v>12</v>
      </c>
      <c r="L646" s="4" t="s">
        <v>176</v>
      </c>
      <c r="M646" s="8" t="s">
        <v>912</v>
      </c>
      <c r="N646" s="4" t="str">
        <f t="shared" si="21"/>
        <v>('1642','RPT_009', 'LabaTrialBalance3rdSegment', '6113010001 - Beban Perjalanan Dinas - Dalam Negeri', 'Beban Usaha', 'Beban umum dan administrasi', '643', '138', 'AND ma.main_account_id IN (6113010001)', 'G', 'Beban perjalanan dinas', 0, 0),</v>
      </c>
    </row>
    <row r="647" spans="1:14" ht="27" x14ac:dyDescent="0.3">
      <c r="A647" s="4">
        <v>1643</v>
      </c>
      <c r="B647" s="4" t="s">
        <v>177</v>
      </c>
      <c r="C647" s="4" t="s">
        <v>178</v>
      </c>
      <c r="D647" s="6" t="s">
        <v>722</v>
      </c>
      <c r="E647" s="4" t="s">
        <v>78</v>
      </c>
      <c r="F647" s="9" t="s">
        <v>79</v>
      </c>
      <c r="G647" s="4">
        <v>644</v>
      </c>
      <c r="H647" s="4">
        <v>139</v>
      </c>
      <c r="I647" s="4" t="s">
        <v>934</v>
      </c>
      <c r="J647" s="4" t="str">
        <f t="shared" si="20"/>
        <v>6113020000</v>
      </c>
      <c r="K647" s="1" t="s">
        <v>12</v>
      </c>
      <c r="L647" s="4" t="s">
        <v>176</v>
      </c>
      <c r="M647" s="8" t="s">
        <v>912</v>
      </c>
      <c r="N647" s="4" t="str">
        <f t="shared" si="21"/>
        <v>('1643','RPT_009', 'LabaTrialBalance3rdSegment', '6113020000 -  Beban perjalanan dinas luar negeri', 'Beban Usaha', 'Beban umum dan administrasi', '644', '139', 'AND ma.main_account_id IN (6113020000)', 'G', 'Beban perjalanan dinas', 0, 0),</v>
      </c>
    </row>
    <row r="648" spans="1:14" ht="27" x14ac:dyDescent="0.3">
      <c r="A648" s="4">
        <v>1644</v>
      </c>
      <c r="B648" s="4" t="s">
        <v>177</v>
      </c>
      <c r="C648" s="4" t="s">
        <v>178</v>
      </c>
      <c r="D648" s="7" t="s">
        <v>723</v>
      </c>
      <c r="E648" s="4" t="s">
        <v>78</v>
      </c>
      <c r="F648" s="9" t="s">
        <v>79</v>
      </c>
      <c r="G648" s="4">
        <v>645</v>
      </c>
      <c r="H648" s="4">
        <v>140</v>
      </c>
      <c r="I648" s="4" t="s">
        <v>934</v>
      </c>
      <c r="J648" s="4" t="str">
        <f t="shared" si="20"/>
        <v>6113020001</v>
      </c>
      <c r="K648" s="1" t="s">
        <v>12</v>
      </c>
      <c r="L648" s="4" t="s">
        <v>176</v>
      </c>
      <c r="M648" s="8" t="s">
        <v>912</v>
      </c>
      <c r="N648" s="4" t="str">
        <f t="shared" si="21"/>
        <v>('1644','RPT_009', 'LabaTrialBalance3rdSegment', '6113020001 - Beban Perjalanan Dinas - Luar Negeri', 'Beban Usaha', 'Beban umum dan administrasi', '645', '140', 'AND ma.main_account_id IN (6113020001)', 'G', 'Beban perjalanan dinas', 0, 0),</v>
      </c>
    </row>
    <row r="649" spans="1:14" ht="27" x14ac:dyDescent="0.3">
      <c r="A649" s="4">
        <v>1645</v>
      </c>
      <c r="B649" s="4" t="s">
        <v>177</v>
      </c>
      <c r="C649" s="4" t="s">
        <v>178</v>
      </c>
      <c r="D649" s="6" t="s">
        <v>724</v>
      </c>
      <c r="E649" s="4" t="s">
        <v>78</v>
      </c>
      <c r="F649" s="9" t="s">
        <v>79</v>
      </c>
      <c r="G649" s="4">
        <v>646</v>
      </c>
      <c r="H649" s="4">
        <v>141</v>
      </c>
      <c r="I649" s="4" t="s">
        <v>934</v>
      </c>
      <c r="J649" s="4" t="str">
        <f t="shared" si="20"/>
        <v>6113030000</v>
      </c>
      <c r="K649" s="1" t="s">
        <v>12</v>
      </c>
      <c r="L649" s="4" t="s">
        <v>176</v>
      </c>
      <c r="M649" s="8" t="s">
        <v>912</v>
      </c>
      <c r="N649" s="4" t="str">
        <f t="shared" si="21"/>
        <v>('1645','RPT_009', 'LabaTrialBalance3rdSegment', '6113030000 -  Beban transportasi dan akomodasi', 'Beban Usaha', 'Beban umum dan administrasi', '646', '141', 'AND ma.main_account_id IN (6113030000)', 'G', 'Beban perjalanan dinas', 0, 0),</v>
      </c>
    </row>
    <row r="650" spans="1:14" ht="27" x14ac:dyDescent="0.3">
      <c r="A650" s="4">
        <v>1646</v>
      </c>
      <c r="B650" s="4" t="s">
        <v>177</v>
      </c>
      <c r="C650" s="4" t="s">
        <v>178</v>
      </c>
      <c r="D650" s="7" t="s">
        <v>725</v>
      </c>
      <c r="E650" s="4" t="s">
        <v>78</v>
      </c>
      <c r="F650" s="9" t="s">
        <v>79</v>
      </c>
      <c r="G650" s="4">
        <v>647</v>
      </c>
      <c r="H650" s="4">
        <v>142</v>
      </c>
      <c r="I650" s="4" t="s">
        <v>934</v>
      </c>
      <c r="J650" s="4" t="str">
        <f t="shared" si="20"/>
        <v>6113030001</v>
      </c>
      <c r="K650" s="1" t="s">
        <v>12</v>
      </c>
      <c r="L650" s="4" t="s">
        <v>176</v>
      </c>
      <c r="M650" s="8" t="s">
        <v>912</v>
      </c>
      <c r="N650" s="4" t="str">
        <f t="shared" si="21"/>
        <v>('1646','RPT_009', 'LabaTrialBalance3rdSegment', '6113030001 - Beban Transportasi Dan Akomodasi', 'Beban Usaha', 'Beban umum dan administrasi', '647', '142', 'AND ma.main_account_id IN (6113030001)', 'G', 'Beban perjalanan dinas', 0, 0),</v>
      </c>
    </row>
    <row r="651" spans="1:14" ht="31.2" x14ac:dyDescent="0.3">
      <c r="A651" s="4">
        <v>1647</v>
      </c>
      <c r="B651" s="4" t="s">
        <v>177</v>
      </c>
      <c r="C651" s="4" t="s">
        <v>178</v>
      </c>
      <c r="D651" s="5" t="s">
        <v>65</v>
      </c>
      <c r="E651" s="4" t="s">
        <v>78</v>
      </c>
      <c r="F651" s="9" t="s">
        <v>79</v>
      </c>
      <c r="G651" s="4">
        <v>648</v>
      </c>
      <c r="H651" s="4">
        <v>143</v>
      </c>
      <c r="I651" s="4" t="s">
        <v>934</v>
      </c>
      <c r="J651" s="4" t="str">
        <f t="shared" si="20"/>
        <v>6115000000</v>
      </c>
      <c r="K651" s="1" t="s">
        <v>12</v>
      </c>
      <c r="L651" s="4" t="s">
        <v>176</v>
      </c>
      <c r="M651" s="8" t="s">
        <v>913</v>
      </c>
      <c r="N651" s="4" t="str">
        <f t="shared" si="21"/>
        <v>('1647','RPT_009', 'LabaTrialBalance3rdSegment', '6115000000 -  Beban Jasa Profesional &amp; Konsultan', 'Beban Usaha', 'Beban umum dan administrasi', '648', '143', 'AND ma.main_account_id IN (6115000000)', 'G', 'Beban Jasa Profesional &amp; Konsultan', 0, 0),</v>
      </c>
    </row>
    <row r="652" spans="1:14" ht="31.2" x14ac:dyDescent="0.3">
      <c r="A652" s="4">
        <v>1648</v>
      </c>
      <c r="B652" s="4" t="s">
        <v>177</v>
      </c>
      <c r="C652" s="4" t="s">
        <v>178</v>
      </c>
      <c r="D652" s="6" t="s">
        <v>726</v>
      </c>
      <c r="E652" s="4" t="s">
        <v>78</v>
      </c>
      <c r="F652" s="9" t="s">
        <v>79</v>
      </c>
      <c r="G652" s="4">
        <v>649</v>
      </c>
      <c r="H652" s="4">
        <v>144</v>
      </c>
      <c r="I652" s="4" t="s">
        <v>934</v>
      </c>
      <c r="J652" s="4" t="str">
        <f t="shared" si="20"/>
        <v>6115010000</v>
      </c>
      <c r="K652" s="1" t="s">
        <v>12</v>
      </c>
      <c r="L652" s="4" t="s">
        <v>176</v>
      </c>
      <c r="M652" s="8" t="s">
        <v>913</v>
      </c>
      <c r="N652" s="4" t="str">
        <f t="shared" si="21"/>
        <v>('1648','RPT_009', 'LabaTrialBalance3rdSegment', '6115010000 -  Jasa Profesional &amp; Konsultan', 'Beban Usaha', 'Beban umum dan administrasi', '649', '144', 'AND ma.main_account_id IN (6115010000)', 'G', 'Beban Jasa Profesional &amp; Konsultan', 0, 0),</v>
      </c>
    </row>
    <row r="653" spans="1:14" ht="31.2" x14ac:dyDescent="0.3">
      <c r="A653" s="4">
        <v>1649</v>
      </c>
      <c r="B653" s="4" t="s">
        <v>177</v>
      </c>
      <c r="C653" s="4" t="s">
        <v>178</v>
      </c>
      <c r="D653" s="7" t="s">
        <v>727</v>
      </c>
      <c r="E653" s="4" t="s">
        <v>78</v>
      </c>
      <c r="F653" s="9" t="s">
        <v>79</v>
      </c>
      <c r="G653" s="4">
        <v>650</v>
      </c>
      <c r="H653" s="4">
        <v>145</v>
      </c>
      <c r="I653" s="4" t="s">
        <v>934</v>
      </c>
      <c r="J653" s="4" t="str">
        <f t="shared" si="20"/>
        <v>6115010001</v>
      </c>
      <c r="K653" s="1" t="s">
        <v>12</v>
      </c>
      <c r="L653" s="4" t="s">
        <v>176</v>
      </c>
      <c r="M653" s="8" t="s">
        <v>913</v>
      </c>
      <c r="N653" s="4" t="str">
        <f t="shared" si="21"/>
        <v>('1649','RPT_009', 'LabaTrialBalance3rdSegment', '6115010001 - Beban Konsultan Audit', 'Beban Usaha', 'Beban umum dan administrasi', '650', '145', 'AND ma.main_account_id IN (6115010001)', 'G', 'Beban Jasa Profesional &amp; Konsultan', 0, 0),</v>
      </c>
    </row>
    <row r="654" spans="1:14" ht="31.2" x14ac:dyDescent="0.3">
      <c r="A654" s="4">
        <v>1650</v>
      </c>
      <c r="B654" s="4" t="s">
        <v>177</v>
      </c>
      <c r="C654" s="4" t="s">
        <v>178</v>
      </c>
      <c r="D654" s="7" t="s">
        <v>728</v>
      </c>
      <c r="E654" s="4" t="s">
        <v>78</v>
      </c>
      <c r="F654" s="9" t="s">
        <v>79</v>
      </c>
      <c r="G654" s="4">
        <v>651</v>
      </c>
      <c r="H654" s="4">
        <v>146</v>
      </c>
      <c r="I654" s="4" t="s">
        <v>934</v>
      </c>
      <c r="J654" s="4" t="str">
        <f t="shared" si="20"/>
        <v>6115010002</v>
      </c>
      <c r="K654" s="1" t="s">
        <v>12</v>
      </c>
      <c r="L654" s="4" t="s">
        <v>176</v>
      </c>
      <c r="M654" s="8" t="s">
        <v>913</v>
      </c>
      <c r="N654" s="4" t="str">
        <f t="shared" si="21"/>
        <v>('1650','RPT_009', 'LabaTrialBalance3rdSegment', '6115010002 - Beban Konsultan Hukum', 'Beban Usaha', 'Beban umum dan administrasi', '651', '146', 'AND ma.main_account_id IN (6115010002)', 'G', 'Beban Jasa Profesional &amp; Konsultan', 0, 0),</v>
      </c>
    </row>
    <row r="655" spans="1:14" ht="31.2" x14ac:dyDescent="0.3">
      <c r="A655" s="4">
        <v>1651</v>
      </c>
      <c r="B655" s="4" t="s">
        <v>177</v>
      </c>
      <c r="C655" s="4" t="s">
        <v>178</v>
      </c>
      <c r="D655" s="7" t="s">
        <v>729</v>
      </c>
      <c r="E655" s="4" t="s">
        <v>78</v>
      </c>
      <c r="F655" s="9" t="s">
        <v>79</v>
      </c>
      <c r="G655" s="4">
        <v>652</v>
      </c>
      <c r="H655" s="4">
        <v>147</v>
      </c>
      <c r="I655" s="4" t="s">
        <v>934</v>
      </c>
      <c r="J655" s="4" t="str">
        <f t="shared" si="20"/>
        <v>6115010003</v>
      </c>
      <c r="K655" s="1" t="s">
        <v>12</v>
      </c>
      <c r="L655" s="4" t="s">
        <v>176</v>
      </c>
      <c r="M655" s="8" t="s">
        <v>913</v>
      </c>
      <c r="N655" s="4" t="str">
        <f t="shared" si="21"/>
        <v>('1651','RPT_009', 'LabaTrialBalance3rdSegment', '6115010003 - Beban Konsultan Keuangan', 'Beban Usaha', 'Beban umum dan administrasi', '652', '147', 'AND ma.main_account_id IN (6115010003)', 'G', 'Beban Jasa Profesional &amp; Konsultan', 0, 0),</v>
      </c>
    </row>
    <row r="656" spans="1:14" ht="31.2" x14ac:dyDescent="0.3">
      <c r="A656" s="4">
        <v>1652</v>
      </c>
      <c r="B656" s="4" t="s">
        <v>177</v>
      </c>
      <c r="C656" s="4" t="s">
        <v>178</v>
      </c>
      <c r="D656" s="7" t="s">
        <v>730</v>
      </c>
      <c r="E656" s="4" t="s">
        <v>78</v>
      </c>
      <c r="F656" s="9" t="s">
        <v>79</v>
      </c>
      <c r="G656" s="4">
        <v>653</v>
      </c>
      <c r="H656" s="4">
        <v>148</v>
      </c>
      <c r="I656" s="4" t="s">
        <v>934</v>
      </c>
      <c r="J656" s="4" t="str">
        <f t="shared" si="20"/>
        <v>6115010004</v>
      </c>
      <c r="K656" s="1" t="s">
        <v>12</v>
      </c>
      <c r="L656" s="4" t="s">
        <v>176</v>
      </c>
      <c r="M656" s="8" t="s">
        <v>913</v>
      </c>
      <c r="N656" s="4" t="str">
        <f t="shared" si="21"/>
        <v>('1652','RPT_009', 'LabaTrialBalance3rdSegment', '6115010004 - Beban Konsultan Manajemen', 'Beban Usaha', 'Beban umum dan administrasi', '653', '148', 'AND ma.main_account_id IN (6115010004)', 'G', 'Beban Jasa Profesional &amp; Konsultan', 0, 0),</v>
      </c>
    </row>
    <row r="657" spans="1:14" ht="31.2" x14ac:dyDescent="0.3">
      <c r="A657" s="4">
        <v>1653</v>
      </c>
      <c r="B657" s="4" t="s">
        <v>177</v>
      </c>
      <c r="C657" s="4" t="s">
        <v>178</v>
      </c>
      <c r="D657" s="7" t="s">
        <v>731</v>
      </c>
      <c r="E657" s="4" t="s">
        <v>78</v>
      </c>
      <c r="F657" s="9" t="s">
        <v>79</v>
      </c>
      <c r="G657" s="4">
        <v>654</v>
      </c>
      <c r="H657" s="4">
        <v>149</v>
      </c>
      <c r="I657" s="4" t="s">
        <v>934</v>
      </c>
      <c r="J657" s="4" t="str">
        <f t="shared" si="20"/>
        <v>6115010005</v>
      </c>
      <c r="K657" s="1" t="s">
        <v>12</v>
      </c>
      <c r="L657" s="4" t="s">
        <v>176</v>
      </c>
      <c r="M657" s="8" t="s">
        <v>913</v>
      </c>
      <c r="N657" s="4" t="str">
        <f t="shared" si="21"/>
        <v>('1653','RPT_009', 'LabaTrialBalance3rdSegment', '6115010005 - Beban Konsultan Pajak', 'Beban Usaha', 'Beban umum dan administrasi', '654', '149', 'AND ma.main_account_id IN (6115010005)', 'G', 'Beban Jasa Profesional &amp; Konsultan', 0, 0),</v>
      </c>
    </row>
    <row r="658" spans="1:14" ht="31.2" x14ac:dyDescent="0.3">
      <c r="A658" s="4">
        <v>1654</v>
      </c>
      <c r="B658" s="4" t="s">
        <v>177</v>
      </c>
      <c r="C658" s="4" t="s">
        <v>178</v>
      </c>
      <c r="D658" s="7" t="s">
        <v>732</v>
      </c>
      <c r="E658" s="4" t="s">
        <v>78</v>
      </c>
      <c r="F658" s="9" t="s">
        <v>79</v>
      </c>
      <c r="G658" s="4">
        <v>655</v>
      </c>
      <c r="H658" s="4">
        <v>150</v>
      </c>
      <c r="I658" s="4" t="s">
        <v>934</v>
      </c>
      <c r="J658" s="4" t="str">
        <f t="shared" si="20"/>
        <v>6115010006</v>
      </c>
      <c r="K658" s="1" t="s">
        <v>12</v>
      </c>
      <c r="L658" s="4" t="s">
        <v>176</v>
      </c>
      <c r="M658" s="8" t="s">
        <v>913</v>
      </c>
      <c r="N658" s="4" t="str">
        <f t="shared" si="21"/>
        <v>('1654','RPT_009', 'LabaTrialBalance3rdSegment', '6115010006 - Beban Konsultan Pemasaran', 'Beban Usaha', 'Beban umum dan administrasi', '655', '150', 'AND ma.main_account_id IN (6115010006)', 'G', 'Beban Jasa Profesional &amp; Konsultan', 0, 0),</v>
      </c>
    </row>
    <row r="659" spans="1:14" ht="31.2" x14ac:dyDescent="0.3">
      <c r="A659" s="4">
        <v>1655</v>
      </c>
      <c r="B659" s="4" t="s">
        <v>177</v>
      </c>
      <c r="C659" s="4" t="s">
        <v>178</v>
      </c>
      <c r="D659" s="7" t="s">
        <v>733</v>
      </c>
      <c r="E659" s="4" t="s">
        <v>78</v>
      </c>
      <c r="F659" s="9" t="s">
        <v>79</v>
      </c>
      <c r="G659" s="4">
        <v>656</v>
      </c>
      <c r="H659" s="4">
        <v>151</v>
      </c>
      <c r="I659" s="4" t="s">
        <v>934</v>
      </c>
      <c r="J659" s="4" t="str">
        <f t="shared" si="20"/>
        <v>6115010007</v>
      </c>
      <c r="K659" s="1" t="s">
        <v>12</v>
      </c>
      <c r="L659" s="4" t="s">
        <v>176</v>
      </c>
      <c r="M659" s="8" t="s">
        <v>913</v>
      </c>
      <c r="N659" s="4" t="str">
        <f t="shared" si="21"/>
        <v>('1655','RPT_009', 'LabaTrialBalance3rdSegment', '6115010007 - Beban Konsultan Penilai', 'Beban Usaha', 'Beban umum dan administrasi', '656', '151', 'AND ma.main_account_id IN (6115010007)', 'G', 'Beban Jasa Profesional &amp; Konsultan', 0, 0),</v>
      </c>
    </row>
    <row r="660" spans="1:14" ht="31.2" x14ac:dyDescent="0.3">
      <c r="A660" s="4">
        <v>1656</v>
      </c>
      <c r="B660" s="4" t="s">
        <v>177</v>
      </c>
      <c r="C660" s="4" t="s">
        <v>178</v>
      </c>
      <c r="D660" s="7" t="s">
        <v>734</v>
      </c>
      <c r="E660" s="4" t="s">
        <v>78</v>
      </c>
      <c r="F660" s="9" t="s">
        <v>79</v>
      </c>
      <c r="G660" s="4">
        <v>657</v>
      </c>
      <c r="H660" s="4">
        <v>152</v>
      </c>
      <c r="I660" s="4" t="s">
        <v>934</v>
      </c>
      <c r="J660" s="4" t="str">
        <f t="shared" si="20"/>
        <v>6115010008</v>
      </c>
      <c r="K660" s="1" t="s">
        <v>12</v>
      </c>
      <c r="L660" s="4" t="s">
        <v>176</v>
      </c>
      <c r="M660" s="8" t="s">
        <v>913</v>
      </c>
      <c r="N660" s="4" t="str">
        <f t="shared" si="21"/>
        <v>('1656','RPT_009', 'LabaTrialBalance3rdSegment', '6115010008 - Beban Konsultan Perencanaan', 'Beban Usaha', 'Beban umum dan administrasi', '657', '152', 'AND ma.main_account_id IN (6115010008)', 'G', 'Beban Jasa Profesional &amp; Konsultan', 0, 0),</v>
      </c>
    </row>
    <row r="661" spans="1:14" x14ac:dyDescent="0.3">
      <c r="A661" s="4">
        <v>1657</v>
      </c>
      <c r="B661" s="4" t="s">
        <v>177</v>
      </c>
      <c r="C661" s="4" t="s">
        <v>178</v>
      </c>
      <c r="D661" s="5" t="s">
        <v>66</v>
      </c>
      <c r="E661" s="4" t="s">
        <v>78</v>
      </c>
      <c r="F661" s="9" t="s">
        <v>79</v>
      </c>
      <c r="G661" s="4">
        <v>658</v>
      </c>
      <c r="H661" s="4">
        <v>153</v>
      </c>
      <c r="I661" s="4" t="s">
        <v>934</v>
      </c>
      <c r="J661" s="4" t="str">
        <f t="shared" si="20"/>
        <v>6116000000</v>
      </c>
      <c r="K661" s="1" t="s">
        <v>12</v>
      </c>
      <c r="L661" s="4" t="s">
        <v>176</v>
      </c>
      <c r="M661" s="8" t="s">
        <v>914</v>
      </c>
      <c r="N661" s="4" t="str">
        <f t="shared" si="21"/>
        <v>('1657','RPT_009', 'LabaTrialBalance3rdSegment', '6116000000 -  Beban keperluan internal', 'Beban Usaha', 'Beban umum dan administrasi', '658', '153', 'AND ma.main_account_id IN (6116000000)', 'G', 'Beban keperluan internal', 0, 0),</v>
      </c>
    </row>
    <row r="662" spans="1:14" ht="27" x14ac:dyDescent="0.3">
      <c r="A662" s="4">
        <v>1658</v>
      </c>
      <c r="B662" s="4" t="s">
        <v>177</v>
      </c>
      <c r="C662" s="4" t="s">
        <v>178</v>
      </c>
      <c r="D662" s="6" t="s">
        <v>735</v>
      </c>
      <c r="E662" s="4" t="s">
        <v>78</v>
      </c>
      <c r="F662" s="9" t="s">
        <v>79</v>
      </c>
      <c r="G662" s="4">
        <v>659</v>
      </c>
      <c r="H662" s="4">
        <v>154</v>
      </c>
      <c r="I662" s="4" t="s">
        <v>934</v>
      </c>
      <c r="J662" s="4" t="str">
        <f t="shared" si="20"/>
        <v>6116010000</v>
      </c>
      <c r="K662" s="1" t="s">
        <v>12</v>
      </c>
      <c r="L662" s="4" t="s">
        <v>176</v>
      </c>
      <c r="M662" s="8" t="s">
        <v>914</v>
      </c>
      <c r="N662" s="4" t="str">
        <f t="shared" si="21"/>
        <v>('1658','RPT_009', 'LabaTrialBalance3rdSegment', '6116010000 -  Beban permakanan dan minuman', 'Beban Usaha', 'Beban umum dan administrasi', '659', '154', 'AND ma.main_account_id IN (6116010000)', 'G', 'Beban keperluan internal', 0, 0),</v>
      </c>
    </row>
    <row r="663" spans="1:14" ht="27" x14ac:dyDescent="0.3">
      <c r="A663" s="4">
        <v>1659</v>
      </c>
      <c r="B663" s="4" t="s">
        <v>177</v>
      </c>
      <c r="C663" s="4" t="s">
        <v>178</v>
      </c>
      <c r="D663" s="7" t="s">
        <v>736</v>
      </c>
      <c r="E663" s="4" t="s">
        <v>78</v>
      </c>
      <c r="F663" s="9" t="s">
        <v>79</v>
      </c>
      <c r="G663" s="4">
        <v>660</v>
      </c>
      <c r="H663" s="4">
        <v>155</v>
      </c>
      <c r="I663" s="4" t="s">
        <v>934</v>
      </c>
      <c r="J663" s="4" t="str">
        <f t="shared" si="20"/>
        <v>6116010001</v>
      </c>
      <c r="K663" s="1" t="s">
        <v>12</v>
      </c>
      <c r="L663" s="4" t="s">
        <v>176</v>
      </c>
      <c r="M663" s="8" t="s">
        <v>914</v>
      </c>
      <c r="N663" s="4" t="str">
        <f t="shared" si="21"/>
        <v>('1659','RPT_009', 'LabaTrialBalance3rdSegment', '6116010001 - Beban Permakanan dan Minuman', 'Beban Usaha', 'Beban umum dan administrasi', '660', '155', 'AND ma.main_account_id IN (6116010001)', 'G', 'Beban keperluan internal', 0, 0),</v>
      </c>
    </row>
    <row r="664" spans="1:14" x14ac:dyDescent="0.3">
      <c r="A664" s="4">
        <v>1660</v>
      </c>
      <c r="B664" s="4" t="s">
        <v>177</v>
      </c>
      <c r="C664" s="4" t="s">
        <v>178</v>
      </c>
      <c r="D664" s="6" t="s">
        <v>737</v>
      </c>
      <c r="E664" s="4" t="s">
        <v>78</v>
      </c>
      <c r="F664" s="9" t="s">
        <v>79</v>
      </c>
      <c r="G664" s="4">
        <v>661</v>
      </c>
      <c r="H664" s="4">
        <v>156</v>
      </c>
      <c r="I664" s="4" t="s">
        <v>934</v>
      </c>
      <c r="J664" s="4" t="str">
        <f t="shared" si="20"/>
        <v>6116030000</v>
      </c>
      <c r="K664" s="1" t="s">
        <v>12</v>
      </c>
      <c r="L664" s="4" t="s">
        <v>176</v>
      </c>
      <c r="M664" s="8" t="s">
        <v>914</v>
      </c>
      <c r="N664" s="4" t="str">
        <f t="shared" si="21"/>
        <v>('1660','RPT_009', 'LabaTrialBalance3rdSegment', '6116030000 -  Pos dan Materai', 'Beban Usaha', 'Beban umum dan administrasi', '661', '156', 'AND ma.main_account_id IN (6116030000)', 'G', 'Beban keperluan internal', 0, 0),</v>
      </c>
    </row>
    <row r="665" spans="1:14" x14ac:dyDescent="0.3">
      <c r="A665" s="4">
        <v>1661</v>
      </c>
      <c r="B665" s="4" t="s">
        <v>177</v>
      </c>
      <c r="C665" s="4" t="s">
        <v>178</v>
      </c>
      <c r="D665" s="7" t="s">
        <v>738</v>
      </c>
      <c r="E665" s="4" t="s">
        <v>78</v>
      </c>
      <c r="F665" s="9" t="s">
        <v>79</v>
      </c>
      <c r="G665" s="4">
        <v>662</v>
      </c>
      <c r="H665" s="4">
        <v>157</v>
      </c>
      <c r="I665" s="4" t="s">
        <v>934</v>
      </c>
      <c r="J665" s="4" t="str">
        <f t="shared" si="20"/>
        <v>6116030001</v>
      </c>
      <c r="K665" s="1" t="s">
        <v>12</v>
      </c>
      <c r="L665" s="4" t="s">
        <v>176</v>
      </c>
      <c r="M665" s="8" t="s">
        <v>914</v>
      </c>
      <c r="N665" s="4" t="str">
        <f t="shared" si="21"/>
        <v>('1661','RPT_009', 'LabaTrialBalance3rdSegment', '6116030001 - Beban Pos dan Materai', 'Beban Usaha', 'Beban umum dan administrasi', '662', '157', 'AND ma.main_account_id IN (6116030001)', 'G', 'Beban keperluan internal', 0, 0),</v>
      </c>
    </row>
    <row r="666" spans="1:14" x14ac:dyDescent="0.3">
      <c r="A666" s="4">
        <v>1662</v>
      </c>
      <c r="B666" s="4" t="s">
        <v>177</v>
      </c>
      <c r="C666" s="4" t="s">
        <v>178</v>
      </c>
      <c r="D666" s="5" t="s">
        <v>67</v>
      </c>
      <c r="E666" s="4" t="s">
        <v>78</v>
      </c>
      <c r="F666" s="9" t="s">
        <v>79</v>
      </c>
      <c r="G666" s="4">
        <v>663</v>
      </c>
      <c r="H666" s="4">
        <v>158</v>
      </c>
      <c r="I666" s="4" t="s">
        <v>934</v>
      </c>
      <c r="J666" s="4" t="str">
        <f t="shared" si="20"/>
        <v>6119000000</v>
      </c>
      <c r="K666" s="1" t="s">
        <v>12</v>
      </c>
      <c r="L666" s="4" t="s">
        <v>176</v>
      </c>
      <c r="M666" s="8" t="s">
        <v>915</v>
      </c>
      <c r="N666" s="4" t="str">
        <f t="shared" si="21"/>
        <v>('1662','RPT_009', 'LabaTrialBalance3rdSegment', '6119000000 -  Beban keperluan eksternal', 'Beban Usaha', 'Beban umum dan administrasi', '663', '158', 'AND ma.main_account_id IN (6119000000)', 'G', 'Beban keperluan eksternal', 0, 0),</v>
      </c>
    </row>
    <row r="667" spans="1:14" x14ac:dyDescent="0.3">
      <c r="A667" s="4">
        <v>1663</v>
      </c>
      <c r="B667" s="4" t="s">
        <v>177</v>
      </c>
      <c r="C667" s="4" t="s">
        <v>178</v>
      </c>
      <c r="D667" s="6" t="s">
        <v>739</v>
      </c>
      <c r="E667" s="4" t="s">
        <v>78</v>
      </c>
      <c r="F667" s="9" t="s">
        <v>79</v>
      </c>
      <c r="G667" s="4">
        <v>664</v>
      </c>
      <c r="H667" s="4">
        <v>159</v>
      </c>
      <c r="I667" s="4" t="s">
        <v>934</v>
      </c>
      <c r="J667" s="4" t="str">
        <f t="shared" si="20"/>
        <v>6119010000</v>
      </c>
      <c r="K667" s="1" t="s">
        <v>12</v>
      </c>
      <c r="L667" s="4" t="s">
        <v>176</v>
      </c>
      <c r="M667" s="8" t="s">
        <v>915</v>
      </c>
      <c r="N667" s="4" t="str">
        <f t="shared" si="21"/>
        <v>('1663','RPT_009', 'LabaTrialBalance3rdSegment', '6119010000 -  Beban Tenaga Penunjang', 'Beban Usaha', 'Beban umum dan administrasi', '664', '159', 'AND ma.main_account_id IN (6119010000)', 'G', 'Beban keperluan eksternal', 0, 0),</v>
      </c>
    </row>
    <row r="668" spans="1:14" ht="27" x14ac:dyDescent="0.3">
      <c r="A668" s="4">
        <v>1664</v>
      </c>
      <c r="B668" s="4" t="s">
        <v>177</v>
      </c>
      <c r="C668" s="4" t="s">
        <v>178</v>
      </c>
      <c r="D668" s="7" t="s">
        <v>740</v>
      </c>
      <c r="E668" s="4" t="s">
        <v>78</v>
      </c>
      <c r="F668" s="9" t="s">
        <v>79</v>
      </c>
      <c r="G668" s="4">
        <v>665</v>
      </c>
      <c r="H668" s="4">
        <v>160</v>
      </c>
      <c r="I668" s="4" t="s">
        <v>934</v>
      </c>
      <c r="J668" s="4" t="str">
        <f t="shared" si="20"/>
        <v>6119010001</v>
      </c>
      <c r="K668" s="1" t="s">
        <v>12</v>
      </c>
      <c r="L668" s="4" t="s">
        <v>176</v>
      </c>
      <c r="M668" s="8" t="s">
        <v>915</v>
      </c>
      <c r="N668" s="4" t="str">
        <f t="shared" si="21"/>
        <v>('1664','RPT_009', 'LabaTrialBalance3rdSegment', '6119010001 - Beban Tenaga Penunjang Administrasi', 'Beban Usaha', 'Beban umum dan administrasi', '665', '160', 'AND ma.main_account_id IN (6119010001)', 'G', 'Beban keperluan eksternal', 0, 0),</v>
      </c>
    </row>
    <row r="669" spans="1:14" ht="27" x14ac:dyDescent="0.3">
      <c r="A669" s="4">
        <v>1665</v>
      </c>
      <c r="B669" s="4" t="s">
        <v>177</v>
      </c>
      <c r="C669" s="4" t="s">
        <v>178</v>
      </c>
      <c r="D669" s="7" t="s">
        <v>741</v>
      </c>
      <c r="E669" s="4" t="s">
        <v>78</v>
      </c>
      <c r="F669" s="9" t="s">
        <v>79</v>
      </c>
      <c r="G669" s="4">
        <v>666</v>
      </c>
      <c r="H669" s="4">
        <v>161</v>
      </c>
      <c r="I669" s="4" t="s">
        <v>934</v>
      </c>
      <c r="J669" s="4" t="str">
        <f t="shared" si="20"/>
        <v>6119010002</v>
      </c>
      <c r="K669" s="1" t="s">
        <v>12</v>
      </c>
      <c r="L669" s="4" t="s">
        <v>176</v>
      </c>
      <c r="M669" s="8" t="s">
        <v>915</v>
      </c>
      <c r="N669" s="4" t="str">
        <f t="shared" si="21"/>
        <v>('1665','RPT_009', 'LabaTrialBalance3rdSegment', '6119010002 - Beban Tenaga Penunjang Operasional', 'Beban Usaha', 'Beban umum dan administrasi', '666', '161', 'AND ma.main_account_id IN (6119010002)', 'G', 'Beban keperluan eksternal', 0, 0),</v>
      </c>
    </row>
    <row r="670" spans="1:14" ht="31.2" x14ac:dyDescent="0.3">
      <c r="A670" s="4">
        <v>1666</v>
      </c>
      <c r="B670" s="4" t="s">
        <v>177</v>
      </c>
      <c r="C670" s="4" t="s">
        <v>178</v>
      </c>
      <c r="D670" s="5" t="s">
        <v>68</v>
      </c>
      <c r="E670" s="4" t="s">
        <v>78</v>
      </c>
      <c r="F670" s="9" t="s">
        <v>79</v>
      </c>
      <c r="G670" s="4">
        <v>667</v>
      </c>
      <c r="H670" s="4">
        <v>162</v>
      </c>
      <c r="I670" s="4" t="s">
        <v>934</v>
      </c>
      <c r="J670" s="4" t="str">
        <f t="shared" si="20"/>
        <v>6120000000</v>
      </c>
      <c r="K670" s="1" t="s">
        <v>12</v>
      </c>
      <c r="L670" s="4" t="s">
        <v>176</v>
      </c>
      <c r="M670" s="8" t="s">
        <v>916</v>
      </c>
      <c r="N670" s="4" t="str">
        <f t="shared" si="21"/>
        <v>('1666','RPT_009', 'LabaTrialBalance3rdSegment', '6120000000 -  Kerugian (pemulihan) penurunan nilai aset', 'Beban Usaha', 'Beban umum dan administrasi', '667', '162', 'AND ma.main_account_id IN (6120000000)', 'G', 'Kerugian (pemulihan) penurunan nilai aset', 0, 0),</v>
      </c>
    </row>
    <row r="671" spans="1:14" ht="31.2" x14ac:dyDescent="0.3">
      <c r="A671" s="4">
        <v>1667</v>
      </c>
      <c r="B671" s="4" t="s">
        <v>177</v>
      </c>
      <c r="C671" s="4" t="s">
        <v>178</v>
      </c>
      <c r="D671" s="6" t="s">
        <v>742</v>
      </c>
      <c r="E671" s="4" t="s">
        <v>78</v>
      </c>
      <c r="F671" s="9" t="s">
        <v>79</v>
      </c>
      <c r="G671" s="4">
        <v>668</v>
      </c>
      <c r="H671" s="4">
        <v>163</v>
      </c>
      <c r="I671" s="4" t="s">
        <v>934</v>
      </c>
      <c r="J671" s="4" t="str">
        <f t="shared" si="20"/>
        <v>6120060000</v>
      </c>
      <c r="K671" s="1" t="s">
        <v>12</v>
      </c>
      <c r="L671" s="4" t="s">
        <v>176</v>
      </c>
      <c r="M671" s="8" t="s">
        <v>916</v>
      </c>
      <c r="N671" s="4" t="str">
        <f t="shared" si="21"/>
        <v>('1667','RPT_009', 'LabaTrialBalance3rdSegment', '6120060000 -  Kerugian (pemulihan) penurunan nilai piutang usaha', 'Beban Usaha', 'Beban umum dan administrasi', '668', '163', 'AND ma.main_account_id IN (6120060000)', 'G', 'Kerugian (pemulihan) penurunan nilai aset', 0, 0),</v>
      </c>
    </row>
    <row r="672" spans="1:14" ht="31.2" x14ac:dyDescent="0.3">
      <c r="A672" s="4">
        <v>1668</v>
      </c>
      <c r="B672" s="4" t="s">
        <v>177</v>
      </c>
      <c r="C672" s="4" t="s">
        <v>178</v>
      </c>
      <c r="D672" s="7" t="s">
        <v>743</v>
      </c>
      <c r="E672" s="4" t="s">
        <v>78</v>
      </c>
      <c r="F672" s="9" t="s">
        <v>79</v>
      </c>
      <c r="G672" s="4">
        <v>669</v>
      </c>
      <c r="H672" s="4">
        <v>164</v>
      </c>
      <c r="I672" s="4" t="s">
        <v>934</v>
      </c>
      <c r="J672" s="4" t="str">
        <f t="shared" si="20"/>
        <v>6120060001</v>
      </c>
      <c r="K672" s="1" t="s">
        <v>12</v>
      </c>
      <c r="L672" s="4" t="s">
        <v>176</v>
      </c>
      <c r="M672" s="8" t="s">
        <v>916</v>
      </c>
      <c r="N672" s="4" t="str">
        <f t="shared" si="21"/>
        <v>('1668','RPT_009', 'LabaTrialBalance3rdSegment', '6120060001 - Kerugian (pemulihan) penurunan nilai piutang usaha', 'Beban Usaha', 'Beban umum dan administrasi', '669', '164', 'AND ma.main_account_id IN (6120060001)', 'G', 'Kerugian (pemulihan) penurunan nilai aset', 0, 0),</v>
      </c>
    </row>
    <row r="673" spans="1:14" x14ac:dyDescent="0.3">
      <c r="A673" s="4">
        <v>1669</v>
      </c>
      <c r="B673" s="4" t="s">
        <v>177</v>
      </c>
      <c r="C673" s="4" t="s">
        <v>178</v>
      </c>
      <c r="D673" s="5" t="s">
        <v>69</v>
      </c>
      <c r="E673" s="4" t="s">
        <v>78</v>
      </c>
      <c r="F673" s="9" t="s">
        <v>79</v>
      </c>
      <c r="G673" s="4">
        <v>670</v>
      </c>
      <c r="H673" s="4">
        <v>165</v>
      </c>
      <c r="I673" s="4" t="s">
        <v>934</v>
      </c>
      <c r="J673" s="4" t="str">
        <f t="shared" si="20"/>
        <v>6199000000</v>
      </c>
      <c r="K673" s="1" t="s">
        <v>12</v>
      </c>
      <c r="L673" s="4" t="s">
        <v>176</v>
      </c>
      <c r="M673" s="8" t="s">
        <v>917</v>
      </c>
      <c r="N673" s="4" t="str">
        <f t="shared" si="21"/>
        <v>('1669','RPT_009', 'LabaTrialBalance3rdSegment', '6199000000 -  Beban umum lainnya', 'Beban Usaha', 'Beban umum dan administrasi', '670', '165', 'AND ma.main_account_id IN (6199000000)', 'G', 'Beban umum lainnya', 0, 0),</v>
      </c>
    </row>
    <row r="674" spans="1:14" ht="27" x14ac:dyDescent="0.3">
      <c r="A674" s="4">
        <v>1670</v>
      </c>
      <c r="B674" s="4" t="s">
        <v>177</v>
      </c>
      <c r="C674" s="4" t="s">
        <v>178</v>
      </c>
      <c r="D674" s="6" t="s">
        <v>744</v>
      </c>
      <c r="E674" s="4" t="s">
        <v>78</v>
      </c>
      <c r="F674" s="9" t="s">
        <v>79</v>
      </c>
      <c r="G674" s="4">
        <v>671</v>
      </c>
      <c r="H674" s="4">
        <v>166</v>
      </c>
      <c r="I674" s="4" t="s">
        <v>934</v>
      </c>
      <c r="J674" s="4" t="str">
        <f t="shared" si="20"/>
        <v>6199010000</v>
      </c>
      <c r="K674" s="1" t="s">
        <v>12</v>
      </c>
      <c r="L674" s="4" t="s">
        <v>176</v>
      </c>
      <c r="M674" s="8" t="s">
        <v>917</v>
      </c>
      <c r="N674" s="4" t="str">
        <f t="shared" si="21"/>
        <v>('1670','RPT_009', 'LabaTrialBalance3rdSegment', '6199010000 -  Beban Penelitian dan Pengembangan', 'Beban Usaha', 'Beban umum dan administrasi', '671', '166', 'AND ma.main_account_id IN (6199010000)', 'G', 'Beban umum lainnya', 0, 0),</v>
      </c>
    </row>
    <row r="675" spans="1:14" x14ac:dyDescent="0.3">
      <c r="A675" s="4">
        <v>1671</v>
      </c>
      <c r="B675" s="4" t="s">
        <v>177</v>
      </c>
      <c r="C675" s="4" t="s">
        <v>178</v>
      </c>
      <c r="D675" s="7" t="s">
        <v>745</v>
      </c>
      <c r="E675" s="4" t="s">
        <v>78</v>
      </c>
      <c r="F675" s="9" t="s">
        <v>79</v>
      </c>
      <c r="G675" s="4">
        <v>672</v>
      </c>
      <c r="H675" s="4">
        <v>167</v>
      </c>
      <c r="I675" s="4" t="s">
        <v>934</v>
      </c>
      <c r="J675" s="4" t="str">
        <f t="shared" si="20"/>
        <v>6199010001</v>
      </c>
      <c r="K675" s="1" t="s">
        <v>12</v>
      </c>
      <c r="L675" s="4" t="s">
        <v>176</v>
      </c>
      <c r="M675" s="8" t="s">
        <v>917</v>
      </c>
      <c r="N675" s="4" t="str">
        <f t="shared" si="21"/>
        <v>('1671','RPT_009', 'LabaTrialBalance3rdSegment', '6199010001 - Beban Penelitian', 'Beban Usaha', 'Beban umum dan administrasi', '672', '167', 'AND ma.main_account_id IN (6199010001)', 'G', 'Beban umum lainnya', 0, 0),</v>
      </c>
    </row>
    <row r="676" spans="1:14" x14ac:dyDescent="0.3">
      <c r="A676" s="4">
        <v>1672</v>
      </c>
      <c r="B676" s="4" t="s">
        <v>177</v>
      </c>
      <c r="C676" s="4" t="s">
        <v>178</v>
      </c>
      <c r="D676" s="7" t="s">
        <v>746</v>
      </c>
      <c r="E676" s="4" t="s">
        <v>78</v>
      </c>
      <c r="F676" s="9" t="s">
        <v>79</v>
      </c>
      <c r="G676" s="4">
        <v>673</v>
      </c>
      <c r="H676" s="4">
        <v>168</v>
      </c>
      <c r="I676" s="4" t="s">
        <v>934</v>
      </c>
      <c r="J676" s="4" t="str">
        <f t="shared" si="20"/>
        <v>6199010002</v>
      </c>
      <c r="K676" s="1" t="s">
        <v>12</v>
      </c>
      <c r="L676" s="4" t="s">
        <v>176</v>
      </c>
      <c r="M676" s="8" t="s">
        <v>917</v>
      </c>
      <c r="N676" s="4" t="str">
        <f t="shared" si="21"/>
        <v>('1672','RPT_009', 'LabaTrialBalance3rdSegment', '6199010002 - Beban Pengembangan', 'Beban Usaha', 'Beban umum dan administrasi', '673', '168', 'AND ma.main_account_id IN (6199010002)', 'G', 'Beban umum lainnya', 0, 0),</v>
      </c>
    </row>
    <row r="677" spans="1:14" ht="27" x14ac:dyDescent="0.3">
      <c r="A677" s="4">
        <v>1673</v>
      </c>
      <c r="B677" s="4" t="s">
        <v>177</v>
      </c>
      <c r="C677" s="4" t="s">
        <v>178</v>
      </c>
      <c r="D677" s="6" t="s">
        <v>747</v>
      </c>
      <c r="E677" s="4" t="s">
        <v>78</v>
      </c>
      <c r="F677" s="9" t="s">
        <v>79</v>
      </c>
      <c r="G677" s="4">
        <v>674</v>
      </c>
      <c r="H677" s="4">
        <v>169</v>
      </c>
      <c r="I677" s="4" t="s">
        <v>934</v>
      </c>
      <c r="J677" s="4" t="str">
        <f t="shared" si="20"/>
        <v>6199020000</v>
      </c>
      <c r="K677" s="1" t="s">
        <v>12</v>
      </c>
      <c r="L677" s="4" t="s">
        <v>176</v>
      </c>
      <c r="M677" s="8" t="s">
        <v>917</v>
      </c>
      <c r="N677" s="4" t="str">
        <f t="shared" si="21"/>
        <v>('1673','RPT_009', 'LabaTrialBalance3rdSegment', '6199020000 -  Sosial, Olahraga &amp; Binrohmas', 'Beban Usaha', 'Beban umum dan administrasi', '674', '169', 'AND ma.main_account_id IN (6199020000)', 'G', 'Beban umum lainnya', 0, 0),</v>
      </c>
    </row>
    <row r="678" spans="1:14" ht="27" x14ac:dyDescent="0.3">
      <c r="A678" s="4">
        <v>1674</v>
      </c>
      <c r="B678" s="4" t="s">
        <v>177</v>
      </c>
      <c r="C678" s="4" t="s">
        <v>178</v>
      </c>
      <c r="D678" s="7" t="s">
        <v>748</v>
      </c>
      <c r="E678" s="4" t="s">
        <v>78</v>
      </c>
      <c r="F678" s="9" t="s">
        <v>79</v>
      </c>
      <c r="G678" s="4">
        <v>675</v>
      </c>
      <c r="H678" s="4">
        <v>170</v>
      </c>
      <c r="I678" s="4" t="s">
        <v>934</v>
      </c>
      <c r="J678" s="4" t="str">
        <f t="shared" si="20"/>
        <v>6199020001</v>
      </c>
      <c r="K678" s="1" t="s">
        <v>12</v>
      </c>
      <c r="L678" s="4" t="s">
        <v>176</v>
      </c>
      <c r="M678" s="8" t="s">
        <v>917</v>
      </c>
      <c r="N678" s="4" t="str">
        <f t="shared" si="21"/>
        <v>('1674','RPT_009', 'LabaTrialBalance3rdSegment', '6199020001 - Beban Sosial, Olahraga, dan Binrohmas', 'Beban Usaha', 'Beban umum dan administrasi', '675', '170', 'AND ma.main_account_id IN (6199020001)', 'G', 'Beban umum lainnya', 0, 0),</v>
      </c>
    </row>
    <row r="679" spans="1:14" x14ac:dyDescent="0.3">
      <c r="A679" s="4">
        <v>1675</v>
      </c>
      <c r="B679" s="4" t="s">
        <v>177</v>
      </c>
      <c r="C679" s="4" t="s">
        <v>178</v>
      </c>
      <c r="D679" s="6" t="s">
        <v>749</v>
      </c>
      <c r="E679" s="4" t="s">
        <v>78</v>
      </c>
      <c r="F679" s="9" t="s">
        <v>79</v>
      </c>
      <c r="G679" s="4">
        <v>676</v>
      </c>
      <c r="H679" s="4">
        <v>171</v>
      </c>
      <c r="I679" s="4" t="s">
        <v>934</v>
      </c>
      <c r="J679" s="4" t="str">
        <f t="shared" si="20"/>
        <v>6199030000</v>
      </c>
      <c r="K679" s="1" t="s">
        <v>12</v>
      </c>
      <c r="L679" s="4" t="s">
        <v>176</v>
      </c>
      <c r="M679" s="8" t="s">
        <v>917</v>
      </c>
      <c r="N679" s="4" t="str">
        <f t="shared" si="21"/>
        <v>('1675','RPT_009', 'LabaTrialBalance3rdSegment', '6199030000 -  Kegiatan Acara Seremonial', 'Beban Usaha', 'Beban umum dan administrasi', '676', '171', 'AND ma.main_account_id IN (6199030000)', 'G', 'Beban umum lainnya', 0, 0),</v>
      </c>
    </row>
    <row r="680" spans="1:14" ht="27" x14ac:dyDescent="0.3">
      <c r="A680" s="4">
        <v>1676</v>
      </c>
      <c r="B680" s="4" t="s">
        <v>177</v>
      </c>
      <c r="C680" s="4" t="s">
        <v>178</v>
      </c>
      <c r="D680" s="7" t="s">
        <v>750</v>
      </c>
      <c r="E680" s="4" t="s">
        <v>78</v>
      </c>
      <c r="F680" s="9" t="s">
        <v>79</v>
      </c>
      <c r="G680" s="4">
        <v>677</v>
      </c>
      <c r="H680" s="4">
        <v>172</v>
      </c>
      <c r="I680" s="4" t="s">
        <v>934</v>
      </c>
      <c r="J680" s="4" t="str">
        <f t="shared" si="20"/>
        <v>6199030001</v>
      </c>
      <c r="K680" s="1" t="s">
        <v>12</v>
      </c>
      <c r="L680" s="4" t="s">
        <v>176</v>
      </c>
      <c r="M680" s="8" t="s">
        <v>917</v>
      </c>
      <c r="N680" s="4" t="str">
        <f t="shared" si="21"/>
        <v>('1676','RPT_009', 'LabaTrialBalance3rdSegment', '6199030001 - Beban Kegiatan Acara Seremonial', 'Beban Usaha', 'Beban umum dan administrasi', '677', '172', 'AND ma.main_account_id IN (6199030001)', 'G', 'Beban umum lainnya', 0, 0),</v>
      </c>
    </row>
    <row r="681" spans="1:14" x14ac:dyDescent="0.3">
      <c r="A681" s="4">
        <v>1677</v>
      </c>
      <c r="B681" s="4" t="s">
        <v>177</v>
      </c>
      <c r="C681" s="4" t="s">
        <v>178</v>
      </c>
      <c r="D681" s="6" t="s">
        <v>751</v>
      </c>
      <c r="E681" s="4" t="s">
        <v>78</v>
      </c>
      <c r="F681" s="9" t="s">
        <v>79</v>
      </c>
      <c r="G681" s="4">
        <v>678</v>
      </c>
      <c r="H681" s="4">
        <v>173</v>
      </c>
      <c r="I681" s="4" t="s">
        <v>934</v>
      </c>
      <c r="J681" s="4" t="str">
        <f t="shared" si="20"/>
        <v>6199040000</v>
      </c>
      <c r="K681" s="1" t="s">
        <v>12</v>
      </c>
      <c r="L681" s="4" t="s">
        <v>176</v>
      </c>
      <c r="M681" s="8" t="s">
        <v>917</v>
      </c>
      <c r="N681" s="4" t="str">
        <f t="shared" si="21"/>
        <v>('1677','RPT_009', 'LabaTrialBalance3rdSegment', '6199040000 -  Kegiatan Organisasi', 'Beban Usaha', 'Beban umum dan administrasi', '678', '173', 'AND ma.main_account_id IN (6199040000)', 'G', 'Beban umum lainnya', 0, 0),</v>
      </c>
    </row>
    <row r="682" spans="1:14" ht="27" x14ac:dyDescent="0.3">
      <c r="A682" s="4">
        <v>1678</v>
      </c>
      <c r="B682" s="4" t="s">
        <v>177</v>
      </c>
      <c r="C682" s="4" t="s">
        <v>178</v>
      </c>
      <c r="D682" s="7" t="s">
        <v>752</v>
      </c>
      <c r="E682" s="4" t="s">
        <v>78</v>
      </c>
      <c r="F682" s="9" t="s">
        <v>79</v>
      </c>
      <c r="G682" s="4">
        <v>679</v>
      </c>
      <c r="H682" s="4">
        <v>174</v>
      </c>
      <c r="I682" s="4" t="s">
        <v>934</v>
      </c>
      <c r="J682" s="4" t="str">
        <f t="shared" si="20"/>
        <v>6199040001</v>
      </c>
      <c r="K682" s="1" t="s">
        <v>12</v>
      </c>
      <c r="L682" s="4" t="s">
        <v>176</v>
      </c>
      <c r="M682" s="8" t="s">
        <v>917</v>
      </c>
      <c r="N682" s="4" t="str">
        <f t="shared" si="21"/>
        <v>('1678','RPT_009', 'LabaTrialBalance3rdSegment', '6199040001 - Beban Kegiatan Organisasi', 'Beban Usaha', 'Beban umum dan administrasi', '679', '174', 'AND ma.main_account_id IN (6199040001)', 'G', 'Beban umum lainnya', 0, 0),</v>
      </c>
    </row>
    <row r="683" spans="1:14" x14ac:dyDescent="0.3">
      <c r="A683" s="4">
        <v>1679</v>
      </c>
      <c r="B683" s="4" t="s">
        <v>177</v>
      </c>
      <c r="C683" s="4" t="s">
        <v>178</v>
      </c>
      <c r="D683" s="6" t="s">
        <v>753</v>
      </c>
      <c r="E683" s="4" t="s">
        <v>78</v>
      </c>
      <c r="F683" s="9" t="s">
        <v>79</v>
      </c>
      <c r="G683" s="4">
        <v>680</v>
      </c>
      <c r="H683" s="4">
        <v>175</v>
      </c>
      <c r="I683" s="4" t="s">
        <v>934</v>
      </c>
      <c r="J683" s="4" t="str">
        <f t="shared" si="20"/>
        <v>6199080000</v>
      </c>
      <c r="K683" s="1" t="s">
        <v>12</v>
      </c>
      <c r="L683" s="4" t="s">
        <v>176</v>
      </c>
      <c r="M683" s="8" t="s">
        <v>917</v>
      </c>
      <c r="N683" s="4" t="str">
        <f t="shared" si="21"/>
        <v>('1679','RPT_009', 'LabaTrialBalance3rdSegment', '6199080000 -  Beban Honor Tim Eksternal', 'Beban Usaha', 'Beban umum dan administrasi', '680', '175', 'AND ma.main_account_id IN (6199080000)', 'G', 'Beban umum lainnya', 0, 0),</v>
      </c>
    </row>
    <row r="684" spans="1:14" x14ac:dyDescent="0.3">
      <c r="A684" s="4">
        <v>1680</v>
      </c>
      <c r="B684" s="4" t="s">
        <v>177</v>
      </c>
      <c r="C684" s="4" t="s">
        <v>178</v>
      </c>
      <c r="D684" s="7" t="s">
        <v>754</v>
      </c>
      <c r="E684" s="4" t="s">
        <v>78</v>
      </c>
      <c r="F684" s="9" t="s">
        <v>79</v>
      </c>
      <c r="G684" s="4">
        <v>681</v>
      </c>
      <c r="H684" s="4">
        <v>176</v>
      </c>
      <c r="I684" s="4" t="s">
        <v>934</v>
      </c>
      <c r="J684" s="4" t="str">
        <f t="shared" si="20"/>
        <v>6199080001</v>
      </c>
      <c r="K684" s="1" t="s">
        <v>12</v>
      </c>
      <c r="L684" s="4" t="s">
        <v>176</v>
      </c>
      <c r="M684" s="8" t="s">
        <v>917</v>
      </c>
      <c r="N684" s="4" t="str">
        <f t="shared" si="21"/>
        <v>('1680','RPT_009', 'LabaTrialBalance3rdSegment', '6199080001 - Beban Honor Tim Eksternal', 'Beban Usaha', 'Beban umum dan administrasi', '681', '176', 'AND ma.main_account_id IN (6199080001)', 'G', 'Beban umum lainnya', 0, 0),</v>
      </c>
    </row>
    <row r="685" spans="1:14" ht="27" x14ac:dyDescent="0.3">
      <c r="A685" s="4">
        <v>1681</v>
      </c>
      <c r="B685" s="4" t="s">
        <v>177</v>
      </c>
      <c r="C685" s="4" t="s">
        <v>178</v>
      </c>
      <c r="D685" s="6" t="s">
        <v>755</v>
      </c>
      <c r="E685" s="4" t="s">
        <v>78</v>
      </c>
      <c r="F685" s="9" t="s">
        <v>79</v>
      </c>
      <c r="G685" s="4">
        <v>682</v>
      </c>
      <c r="H685" s="4">
        <v>177</v>
      </c>
      <c r="I685" s="4" t="s">
        <v>934</v>
      </c>
      <c r="J685" s="4" t="str">
        <f t="shared" si="20"/>
        <v>6199090000</v>
      </c>
      <c r="K685" s="1" t="s">
        <v>12</v>
      </c>
      <c r="L685" s="4" t="s">
        <v>176</v>
      </c>
      <c r="M685" s="8" t="s">
        <v>917</v>
      </c>
      <c r="N685" s="4" t="str">
        <f t="shared" si="21"/>
        <v>('1681','RPT_009', 'LabaTrialBalance3rdSegment', '6199090000 -  Beban Operasional dan Pengelolaan', 'Beban Usaha', 'Beban umum dan administrasi', '682', '177', 'AND ma.main_account_id IN (6199090000)', 'G', 'Beban umum lainnya', 0, 0),</v>
      </c>
    </row>
    <row r="686" spans="1:14" ht="27" x14ac:dyDescent="0.3">
      <c r="A686" s="4">
        <v>1682</v>
      </c>
      <c r="B686" s="4" t="s">
        <v>177</v>
      </c>
      <c r="C686" s="4" t="s">
        <v>178</v>
      </c>
      <c r="D686" s="7" t="s">
        <v>756</v>
      </c>
      <c r="E686" s="4" t="s">
        <v>78</v>
      </c>
      <c r="F686" s="9" t="s">
        <v>79</v>
      </c>
      <c r="G686" s="4">
        <v>683</v>
      </c>
      <c r="H686" s="4">
        <v>178</v>
      </c>
      <c r="I686" s="4" t="s">
        <v>934</v>
      </c>
      <c r="J686" s="4" t="str">
        <f t="shared" si="20"/>
        <v>6199090001</v>
      </c>
      <c r="K686" s="1" t="s">
        <v>12</v>
      </c>
      <c r="L686" s="4" t="s">
        <v>176</v>
      </c>
      <c r="M686" s="8" t="s">
        <v>917</v>
      </c>
      <c r="N686" s="4" t="str">
        <f t="shared" si="21"/>
        <v>('1682','RPT_009', 'LabaTrialBalance3rdSegment', '6199090001 - Beban Keamanan dan Pengelolaan Lingkungan', 'Beban Usaha', 'Beban umum dan administrasi', '683', '178', 'AND ma.main_account_id IN (6199090001)', 'G', 'Beban umum lainnya', 0, 0),</v>
      </c>
    </row>
    <row r="687" spans="1:14" ht="27" x14ac:dyDescent="0.3">
      <c r="A687" s="4">
        <v>1683</v>
      </c>
      <c r="B687" s="4" t="s">
        <v>177</v>
      </c>
      <c r="C687" s="4" t="s">
        <v>178</v>
      </c>
      <c r="D687" s="7" t="s">
        <v>757</v>
      </c>
      <c r="E687" s="4" t="s">
        <v>78</v>
      </c>
      <c r="F687" s="9" t="s">
        <v>79</v>
      </c>
      <c r="G687" s="4">
        <v>684</v>
      </c>
      <c r="H687" s="4">
        <v>179</v>
      </c>
      <c r="I687" s="4" t="s">
        <v>934</v>
      </c>
      <c r="J687" s="4" t="str">
        <f t="shared" si="20"/>
        <v>6199090002</v>
      </c>
      <c r="K687" s="1" t="s">
        <v>12</v>
      </c>
      <c r="L687" s="4" t="s">
        <v>176</v>
      </c>
      <c r="M687" s="8" t="s">
        <v>917</v>
      </c>
      <c r="N687" s="4" t="str">
        <f t="shared" si="21"/>
        <v>('1683','RPT_009', 'LabaTrialBalance3rdSegment', '6199090002 - Beban Pemeliharaan Satwa', 'Beban Usaha', 'Beban umum dan administrasi', '684', '179', 'AND ma.main_account_id IN (6199090002)', 'G', 'Beban umum lainnya', 0, 0),</v>
      </c>
    </row>
    <row r="688" spans="1:14" ht="27" x14ac:dyDescent="0.3">
      <c r="A688" s="4">
        <v>1684</v>
      </c>
      <c r="B688" s="4" t="s">
        <v>177</v>
      </c>
      <c r="C688" s="4" t="s">
        <v>178</v>
      </c>
      <c r="D688" s="7" t="s">
        <v>758</v>
      </c>
      <c r="E688" s="4" t="s">
        <v>78</v>
      </c>
      <c r="F688" s="9" t="s">
        <v>79</v>
      </c>
      <c r="G688" s="4">
        <v>685</v>
      </c>
      <c r="H688" s="4">
        <v>180</v>
      </c>
      <c r="I688" s="4" t="s">
        <v>934</v>
      </c>
      <c r="J688" s="4" t="str">
        <f t="shared" si="20"/>
        <v>6199090003</v>
      </c>
      <c r="K688" s="1" t="s">
        <v>12</v>
      </c>
      <c r="L688" s="4" t="s">
        <v>176</v>
      </c>
      <c r="M688" s="8" t="s">
        <v>917</v>
      </c>
      <c r="N688" s="4" t="str">
        <f t="shared" si="21"/>
        <v>('1684','RPT_009', 'LabaTrialBalance3rdSegment', '6199090003 - Beban Studi &amp; Analisis Lingkungan', 'Beban Usaha', 'Beban umum dan administrasi', '685', '180', 'AND ma.main_account_id IN (6199090003)', 'G', 'Beban umum lainnya', 0, 0),</v>
      </c>
    </row>
    <row r="689" spans="1:14" x14ac:dyDescent="0.3">
      <c r="A689" s="4">
        <v>1685</v>
      </c>
      <c r="B689" s="4" t="s">
        <v>177</v>
      </c>
      <c r="C689" s="4" t="s">
        <v>178</v>
      </c>
      <c r="D689" s="6" t="s">
        <v>759</v>
      </c>
      <c r="E689" s="4" t="s">
        <v>78</v>
      </c>
      <c r="F689" s="9" t="s">
        <v>79</v>
      </c>
      <c r="G689" s="4">
        <v>686</v>
      </c>
      <c r="H689" s="4">
        <v>181</v>
      </c>
      <c r="I689" s="4" t="s">
        <v>934</v>
      </c>
      <c r="J689" s="4" t="str">
        <f t="shared" si="20"/>
        <v>6199990000</v>
      </c>
      <c r="K689" s="1" t="s">
        <v>12</v>
      </c>
      <c r="L689" s="4" t="s">
        <v>176</v>
      </c>
      <c r="M689" s="8" t="s">
        <v>917</v>
      </c>
      <c r="N689" s="4" t="str">
        <f t="shared" si="21"/>
        <v>('1685','RPT_009', 'LabaTrialBalance3rdSegment', '6199990000 -  Lainnya', 'Beban Usaha', 'Beban umum dan administrasi', '686', '181', 'AND ma.main_account_id IN (6199990000)', 'G', 'Beban umum lainnya', 0, 0),</v>
      </c>
    </row>
    <row r="690" spans="1:14" ht="27" x14ac:dyDescent="0.3">
      <c r="A690" s="4">
        <v>1686</v>
      </c>
      <c r="B690" s="4" t="s">
        <v>177</v>
      </c>
      <c r="C690" s="4" t="s">
        <v>178</v>
      </c>
      <c r="D690" s="7" t="s">
        <v>760</v>
      </c>
      <c r="E690" s="4" t="s">
        <v>78</v>
      </c>
      <c r="F690" s="9" t="s">
        <v>79</v>
      </c>
      <c r="G690" s="4">
        <v>687</v>
      </c>
      <c r="H690" s="4">
        <v>182</v>
      </c>
      <c r="I690" s="4" t="s">
        <v>934</v>
      </c>
      <c r="J690" s="4" t="str">
        <f t="shared" si="20"/>
        <v>6199990003</v>
      </c>
      <c r="K690" s="1" t="s">
        <v>12</v>
      </c>
      <c r="L690" s="4" t="s">
        <v>176</v>
      </c>
      <c r="M690" s="8" t="s">
        <v>917</v>
      </c>
      <c r="N690" s="4" t="str">
        <f t="shared" si="21"/>
        <v>('1686','RPT_009', 'LabaTrialBalance3rdSegment', '6199990003 - Beban Umum dan Administrasi Lain-Lain', 'Beban Usaha', 'Beban umum dan administrasi', '687', '182', 'AND ma.main_account_id IN (6199990003)', 'G', 'Beban umum lainnya', 0, 0),</v>
      </c>
    </row>
    <row r="691" spans="1:14" ht="27" x14ac:dyDescent="0.3">
      <c r="A691" s="4">
        <v>1687</v>
      </c>
      <c r="B691" s="4" t="s">
        <v>177</v>
      </c>
      <c r="C691" s="4" t="s">
        <v>178</v>
      </c>
      <c r="D691" s="3" t="s">
        <v>70</v>
      </c>
      <c r="E691" s="4" t="s">
        <v>78</v>
      </c>
      <c r="F691" s="9" t="s">
        <v>80</v>
      </c>
      <c r="G691" s="4">
        <v>688</v>
      </c>
      <c r="H691" s="4">
        <v>183</v>
      </c>
      <c r="I691" s="4" t="s">
        <v>934</v>
      </c>
      <c r="J691" s="4" t="str">
        <f t="shared" si="20"/>
        <v>6200000000</v>
      </c>
      <c r="K691" s="1" t="s">
        <v>12</v>
      </c>
      <c r="L691" s="4" t="s">
        <v>176</v>
      </c>
      <c r="M691" s="10" t="s">
        <v>80</v>
      </c>
      <c r="N691" s="4" t="str">
        <f t="shared" si="21"/>
        <v>('1687','RPT_009', 'LabaTrialBalance3rdSegment', '6200000000 - Beban penjualan dan pemasaran', 'Beban Usaha', 'Beban penjualan dan pemasaran', '688', '183', 'AND ma.main_account_id IN (6200000000)', 'G', 'Beban penjualan dan pemasaran', 0, 0),</v>
      </c>
    </row>
    <row r="692" spans="1:14" ht="31.2" x14ac:dyDescent="0.3">
      <c r="A692" s="4">
        <v>1688</v>
      </c>
      <c r="B692" s="4" t="s">
        <v>177</v>
      </c>
      <c r="C692" s="4" t="s">
        <v>178</v>
      </c>
      <c r="D692" s="5" t="s">
        <v>71</v>
      </c>
      <c r="E692" s="4" t="s">
        <v>78</v>
      </c>
      <c r="F692" s="9" t="s">
        <v>80</v>
      </c>
      <c r="G692" s="4">
        <v>689</v>
      </c>
      <c r="H692" s="4">
        <v>184</v>
      </c>
      <c r="I692" s="4" t="s">
        <v>934</v>
      </c>
      <c r="J692" s="4" t="str">
        <f t="shared" si="20"/>
        <v>6201000000</v>
      </c>
      <c r="K692" s="1" t="s">
        <v>12</v>
      </c>
      <c r="L692" s="4" t="s">
        <v>176</v>
      </c>
      <c r="M692" s="8" t="s">
        <v>918</v>
      </c>
      <c r="N692" s="4" t="str">
        <f t="shared" si="21"/>
        <v>('1688','RPT_009', 'LabaTrialBalance3rdSegment', '6201000000 -  Beban promosi atau pemasaran', 'Beban Usaha', 'Beban penjualan dan pemasaran', '689', '184', 'AND ma.main_account_id IN (6201000000)', 'G', 'Beban promosi atau pemasaran', 0, 0),</v>
      </c>
    </row>
    <row r="693" spans="1:14" ht="31.2" x14ac:dyDescent="0.3">
      <c r="A693" s="4">
        <v>1689</v>
      </c>
      <c r="B693" s="4" t="s">
        <v>177</v>
      </c>
      <c r="C693" s="4" t="s">
        <v>178</v>
      </c>
      <c r="D693" s="6" t="s">
        <v>761</v>
      </c>
      <c r="E693" s="4" t="s">
        <v>78</v>
      </c>
      <c r="F693" s="9" t="s">
        <v>80</v>
      </c>
      <c r="G693" s="4">
        <v>690</v>
      </c>
      <c r="H693" s="4">
        <v>185</v>
      </c>
      <c r="I693" s="4" t="s">
        <v>934</v>
      </c>
      <c r="J693" s="4" t="str">
        <f t="shared" si="20"/>
        <v>6201010000</v>
      </c>
      <c r="K693" s="1" t="s">
        <v>12</v>
      </c>
      <c r="L693" s="4" t="s">
        <v>176</v>
      </c>
      <c r="M693" s="8" t="s">
        <v>918</v>
      </c>
      <c r="N693" s="4" t="str">
        <f t="shared" si="21"/>
        <v>('1689','RPT_009', 'LabaTrialBalance3rdSegment', '6201010000 -  Promosi dan Event', 'Beban Usaha', 'Beban penjualan dan pemasaran', '690', '185', 'AND ma.main_account_id IN (6201010000)', 'G', 'Beban promosi atau pemasaran', 0, 0),</v>
      </c>
    </row>
    <row r="694" spans="1:14" ht="31.2" x14ac:dyDescent="0.3">
      <c r="A694" s="4">
        <v>1690</v>
      </c>
      <c r="B694" s="4" t="s">
        <v>177</v>
      </c>
      <c r="C694" s="4" t="s">
        <v>178</v>
      </c>
      <c r="D694" s="7" t="s">
        <v>762</v>
      </c>
      <c r="E694" s="4" t="s">
        <v>78</v>
      </c>
      <c r="F694" s="9" t="s">
        <v>80</v>
      </c>
      <c r="G694" s="4">
        <v>691</v>
      </c>
      <c r="H694" s="4">
        <v>186</v>
      </c>
      <c r="I694" s="4" t="s">
        <v>934</v>
      </c>
      <c r="J694" s="4" t="str">
        <f t="shared" si="20"/>
        <v>6201010001</v>
      </c>
      <c r="K694" s="1" t="s">
        <v>12</v>
      </c>
      <c r="L694" s="4" t="s">
        <v>176</v>
      </c>
      <c r="M694" s="8" t="s">
        <v>918</v>
      </c>
      <c r="N694" s="4" t="str">
        <f t="shared" si="21"/>
        <v>('1690','RPT_009', 'LabaTrialBalance3rdSegment', '6201010001 - Beban Event', 'Beban Usaha', 'Beban penjualan dan pemasaran', '691', '186', 'AND ma.main_account_id IN (6201010001)', 'G', 'Beban promosi atau pemasaran', 0, 0),</v>
      </c>
    </row>
    <row r="695" spans="1:14" ht="31.2" x14ac:dyDescent="0.3">
      <c r="A695" s="4">
        <v>1691</v>
      </c>
      <c r="B695" s="4" t="s">
        <v>177</v>
      </c>
      <c r="C695" s="4" t="s">
        <v>178</v>
      </c>
      <c r="D695" s="7" t="s">
        <v>763</v>
      </c>
      <c r="E695" s="4" t="s">
        <v>78</v>
      </c>
      <c r="F695" s="9" t="s">
        <v>80</v>
      </c>
      <c r="G695" s="4">
        <v>692</v>
      </c>
      <c r="H695" s="4">
        <v>187</v>
      </c>
      <c r="I695" s="4" t="s">
        <v>934</v>
      </c>
      <c r="J695" s="4" t="str">
        <f t="shared" si="20"/>
        <v>6201010002</v>
      </c>
      <c r="K695" s="1" t="s">
        <v>12</v>
      </c>
      <c r="L695" s="4" t="s">
        <v>176</v>
      </c>
      <c r="M695" s="8" t="s">
        <v>918</v>
      </c>
      <c r="N695" s="4" t="str">
        <f t="shared" si="21"/>
        <v>('1691','RPT_009', 'LabaTrialBalance3rdSegment', '6201010002 - Beban Promosi dan Publikasi', 'Beban Usaha', 'Beban penjualan dan pemasaran', '692', '187', 'AND ma.main_account_id IN (6201010002)', 'G', 'Beban promosi atau pemasaran', 0, 0),</v>
      </c>
    </row>
    <row r="696" spans="1:14" ht="31.2" x14ac:dyDescent="0.3">
      <c r="A696" s="4">
        <v>1692</v>
      </c>
      <c r="B696" s="4" t="s">
        <v>177</v>
      </c>
      <c r="C696" s="4" t="s">
        <v>178</v>
      </c>
      <c r="D696" s="6" t="s">
        <v>764</v>
      </c>
      <c r="E696" s="4" t="s">
        <v>78</v>
      </c>
      <c r="F696" s="9" t="s">
        <v>80</v>
      </c>
      <c r="G696" s="4">
        <v>693</v>
      </c>
      <c r="H696" s="4">
        <v>188</v>
      </c>
      <c r="I696" s="4" t="s">
        <v>934</v>
      </c>
      <c r="J696" s="4" t="str">
        <f t="shared" si="20"/>
        <v>6201020000</v>
      </c>
      <c r="K696" s="1" t="s">
        <v>12</v>
      </c>
      <c r="L696" s="4" t="s">
        <v>176</v>
      </c>
      <c r="M696" s="8" t="s">
        <v>918</v>
      </c>
      <c r="N696" s="4" t="str">
        <f t="shared" si="21"/>
        <v>('1692','RPT_009', 'LabaTrialBalance3rdSegment', '6201020000 -  Sponsorship', 'Beban Usaha', 'Beban penjualan dan pemasaran', '693', '188', 'AND ma.main_account_id IN (6201020000)', 'G', 'Beban promosi atau pemasaran', 0, 0),</v>
      </c>
    </row>
    <row r="697" spans="1:14" ht="31.2" x14ac:dyDescent="0.3">
      <c r="A697" s="4">
        <v>1693</v>
      </c>
      <c r="B697" s="4" t="s">
        <v>177</v>
      </c>
      <c r="C697" s="4" t="s">
        <v>178</v>
      </c>
      <c r="D697" s="7" t="s">
        <v>765</v>
      </c>
      <c r="E697" s="4" t="s">
        <v>78</v>
      </c>
      <c r="F697" s="9" t="s">
        <v>80</v>
      </c>
      <c r="G697" s="4">
        <v>694</v>
      </c>
      <c r="H697" s="4">
        <v>189</v>
      </c>
      <c r="I697" s="4" t="s">
        <v>934</v>
      </c>
      <c r="J697" s="4" t="str">
        <f t="shared" si="20"/>
        <v>6201020001</v>
      </c>
      <c r="K697" s="1" t="s">
        <v>12</v>
      </c>
      <c r="L697" s="4" t="s">
        <v>176</v>
      </c>
      <c r="M697" s="8" t="s">
        <v>918</v>
      </c>
      <c r="N697" s="4" t="str">
        <f t="shared" si="21"/>
        <v>('1693','RPT_009', 'LabaTrialBalance3rdSegment', '6201020001 - Beban Sponsorship', 'Beban Usaha', 'Beban penjualan dan pemasaran', '694', '189', 'AND ma.main_account_id IN (6201020001)', 'G', 'Beban promosi atau pemasaran', 0, 0),</v>
      </c>
    </row>
    <row r="698" spans="1:14" ht="31.2" x14ac:dyDescent="0.3">
      <c r="A698" s="4">
        <v>1694</v>
      </c>
      <c r="B698" s="4" t="s">
        <v>177</v>
      </c>
      <c r="C698" s="4" t="s">
        <v>178</v>
      </c>
      <c r="D698" s="6" t="s">
        <v>766</v>
      </c>
      <c r="E698" s="4" t="s">
        <v>78</v>
      </c>
      <c r="F698" s="9" t="s">
        <v>80</v>
      </c>
      <c r="G698" s="4">
        <v>695</v>
      </c>
      <c r="H698" s="4">
        <v>190</v>
      </c>
      <c r="I698" s="4" t="s">
        <v>934</v>
      </c>
      <c r="J698" s="4" t="str">
        <f t="shared" si="20"/>
        <v>6201040000</v>
      </c>
      <c r="K698" s="1" t="s">
        <v>12</v>
      </c>
      <c r="L698" s="4" t="s">
        <v>176</v>
      </c>
      <c r="M698" s="8" t="s">
        <v>918</v>
      </c>
      <c r="N698" s="4" t="str">
        <f t="shared" si="21"/>
        <v>('1694','RPT_009', 'LabaTrialBalance3rdSegment', '6201040000 -  Hubungan masyarakat (Public Relation)', 'Beban Usaha', 'Beban penjualan dan pemasaran', '695', '190', 'AND ma.main_account_id IN (6201040000)', 'G', 'Beban promosi atau pemasaran', 0, 0),</v>
      </c>
    </row>
    <row r="699" spans="1:14" ht="31.2" x14ac:dyDescent="0.3">
      <c r="A699" s="4">
        <v>1695</v>
      </c>
      <c r="B699" s="4" t="s">
        <v>177</v>
      </c>
      <c r="C699" s="4" t="s">
        <v>178</v>
      </c>
      <c r="D699" s="7" t="s">
        <v>767</v>
      </c>
      <c r="E699" s="4" t="s">
        <v>78</v>
      </c>
      <c r="F699" s="9" t="s">
        <v>80</v>
      </c>
      <c r="G699" s="4">
        <v>696</v>
      </c>
      <c r="H699" s="4">
        <v>191</v>
      </c>
      <c r="I699" s="4" t="s">
        <v>934</v>
      </c>
      <c r="J699" s="4" t="str">
        <f t="shared" si="20"/>
        <v>6201040001</v>
      </c>
      <c r="K699" s="1" t="s">
        <v>12</v>
      </c>
      <c r="L699" s="4" t="s">
        <v>176</v>
      </c>
      <c r="M699" s="8" t="s">
        <v>918</v>
      </c>
      <c r="N699" s="4" t="str">
        <f t="shared" si="21"/>
        <v>('1695','RPT_009', 'LabaTrialBalance3rdSegment', '6201040001 - Hubungan masyarakat (Public Relation)', 'Beban Usaha', 'Beban penjualan dan pemasaran', '696', '191', 'AND ma.main_account_id IN (6201040001)', 'G', 'Beban promosi atau pemasaran', 0, 0),</v>
      </c>
    </row>
    <row r="700" spans="1:14" x14ac:dyDescent="0.3">
      <c r="A700" s="4">
        <v>1696</v>
      </c>
      <c r="B700" s="4" t="s">
        <v>177</v>
      </c>
      <c r="C700" s="4" t="s">
        <v>178</v>
      </c>
      <c r="D700" s="3" t="s">
        <v>72</v>
      </c>
      <c r="E700" s="4" t="s">
        <v>78</v>
      </c>
      <c r="F700" s="9" t="s">
        <v>81</v>
      </c>
      <c r="G700" s="4">
        <v>697</v>
      </c>
      <c r="H700" s="4">
        <v>192</v>
      </c>
      <c r="I700" s="4" t="s">
        <v>934</v>
      </c>
      <c r="J700" s="4" t="str">
        <f t="shared" si="20"/>
        <v>6300000000</v>
      </c>
      <c r="K700" s="1" t="s">
        <v>12</v>
      </c>
      <c r="L700" s="4" t="s">
        <v>176</v>
      </c>
      <c r="M700" s="10" t="s">
        <v>81</v>
      </c>
      <c r="N700" s="4" t="str">
        <f t="shared" si="21"/>
        <v>('1696','RPT_009', 'LabaTrialBalance3rdSegment', '6300000000 - Beban usaha lainnya', 'Beban Usaha', 'Beban usaha lainnya', '697', '192', 'AND ma.main_account_id IN (6300000000)', 'G', 'Beban usaha lainnya', 0, 0),</v>
      </c>
    </row>
    <row r="701" spans="1:14" x14ac:dyDescent="0.3">
      <c r="A701" s="4">
        <v>1697</v>
      </c>
      <c r="B701" s="4" t="s">
        <v>177</v>
      </c>
      <c r="C701" s="4" t="s">
        <v>178</v>
      </c>
      <c r="D701" s="5" t="s">
        <v>73</v>
      </c>
      <c r="E701" s="4" t="s">
        <v>78</v>
      </c>
      <c r="F701" s="9" t="s">
        <v>81</v>
      </c>
      <c r="G701" s="4">
        <v>698</v>
      </c>
      <c r="H701" s="4">
        <v>193</v>
      </c>
      <c r="I701" s="4" t="s">
        <v>934</v>
      </c>
      <c r="J701" s="4" t="str">
        <f t="shared" si="20"/>
        <v>6301000000</v>
      </c>
      <c r="K701" s="1" t="s">
        <v>12</v>
      </c>
      <c r="L701" s="4" t="s">
        <v>176</v>
      </c>
      <c r="M701" s="8" t="s">
        <v>919</v>
      </c>
      <c r="N701" s="4" t="str">
        <f t="shared" si="21"/>
        <v>('1697','RPT_009', 'LabaTrialBalance3rdSegment', '6301000000 -  Kerugian penurunan nilai', 'Beban Usaha', 'Beban usaha lainnya', '698', '193', 'AND ma.main_account_id IN (6301000000)', 'G', 'Kerugian penurunan nilai', 0, 0),</v>
      </c>
    </row>
    <row r="702" spans="1:14" ht="27" x14ac:dyDescent="0.3">
      <c r="A702" s="4">
        <v>1698</v>
      </c>
      <c r="B702" s="4" t="s">
        <v>177</v>
      </c>
      <c r="C702" s="4" t="s">
        <v>178</v>
      </c>
      <c r="D702" s="6" t="s">
        <v>768</v>
      </c>
      <c r="E702" s="4" t="s">
        <v>78</v>
      </c>
      <c r="F702" s="9" t="s">
        <v>81</v>
      </c>
      <c r="G702" s="4">
        <v>699</v>
      </c>
      <c r="H702" s="4">
        <v>194</v>
      </c>
      <c r="I702" s="4" t="s">
        <v>934</v>
      </c>
      <c r="J702" s="4" t="str">
        <f t="shared" si="20"/>
        <v>6301040000</v>
      </c>
      <c r="K702" s="1" t="s">
        <v>12</v>
      </c>
      <c r="L702" s="4" t="s">
        <v>176</v>
      </c>
      <c r="M702" s="8" t="s">
        <v>919</v>
      </c>
      <c r="N702" s="4" t="str">
        <f t="shared" si="21"/>
        <v>('1698','RPT_009', 'LabaTrialBalance3rdSegment', '6301040000 -  Kerugian penurunan nilai atas investasi pada anak perusahaan', 'Beban Usaha', 'Beban usaha lainnya', '699', '194', 'AND ma.main_account_id IN (6301040000)', 'G', 'Kerugian penurunan nilai', 0, 0),</v>
      </c>
    </row>
    <row r="703" spans="1:14" ht="27" x14ac:dyDescent="0.3">
      <c r="A703" s="4">
        <v>1699</v>
      </c>
      <c r="B703" s="4" t="s">
        <v>177</v>
      </c>
      <c r="C703" s="4" t="s">
        <v>178</v>
      </c>
      <c r="D703" s="7" t="s">
        <v>769</v>
      </c>
      <c r="E703" s="4" t="s">
        <v>78</v>
      </c>
      <c r="F703" s="9" t="s">
        <v>81</v>
      </c>
      <c r="G703" s="4">
        <v>700</v>
      </c>
      <c r="H703" s="4">
        <v>195</v>
      </c>
      <c r="I703" s="4" t="s">
        <v>934</v>
      </c>
      <c r="J703" s="4" t="str">
        <f t="shared" si="20"/>
        <v>6301040001</v>
      </c>
      <c r="K703" s="1" t="s">
        <v>12</v>
      </c>
      <c r="L703" s="4" t="s">
        <v>176</v>
      </c>
      <c r="M703" s="8" t="s">
        <v>919</v>
      </c>
      <c r="N703" s="4" t="str">
        <f t="shared" si="21"/>
        <v>('1699','RPT_009', 'LabaTrialBalance3rdSegment', '6301040001 - Kerugian penurunan nilai atas investasi pada anak perusahaan', 'Beban Usaha', 'Beban usaha lainnya', '700', '195', 'AND ma.main_account_id IN (6301040001)', 'G', 'Kerugian penurunan nilai', 0, 0),</v>
      </c>
    </row>
    <row r="704" spans="1:14" x14ac:dyDescent="0.3">
      <c r="A704" s="4">
        <v>1700</v>
      </c>
      <c r="B704" s="4" t="s">
        <v>177</v>
      </c>
      <c r="C704" s="4" t="s">
        <v>178</v>
      </c>
      <c r="D704" s="5" t="s">
        <v>74</v>
      </c>
      <c r="E704" s="4" t="s">
        <v>78</v>
      </c>
      <c r="F704" s="9" t="s">
        <v>81</v>
      </c>
      <c r="G704" s="4">
        <v>701</v>
      </c>
      <c r="H704" s="4">
        <v>196</v>
      </c>
      <c r="I704" s="4" t="s">
        <v>934</v>
      </c>
      <c r="J704" s="4" t="str">
        <f t="shared" si="20"/>
        <v>6303000000</v>
      </c>
      <c r="K704" s="1" t="s">
        <v>12</v>
      </c>
      <c r="L704" s="4" t="s">
        <v>176</v>
      </c>
      <c r="M704" s="8" t="s">
        <v>920</v>
      </c>
      <c r="N704" s="4" t="str">
        <f t="shared" si="21"/>
        <v>('1700','RPT_009', 'LabaTrialBalance3rdSegment', '6303000000 -  Rugi selisih kurs', 'Beban Usaha', 'Beban usaha lainnya', '701', '196', 'AND ma.main_account_id IN (6303000000)', 'G', 'Rugi selisih kurs', 0, 0),</v>
      </c>
    </row>
    <row r="705" spans="1:14" ht="27" x14ac:dyDescent="0.3">
      <c r="A705" s="4">
        <v>1701</v>
      </c>
      <c r="B705" s="4" t="s">
        <v>177</v>
      </c>
      <c r="C705" s="4" t="s">
        <v>178</v>
      </c>
      <c r="D705" s="6" t="s">
        <v>770</v>
      </c>
      <c r="E705" s="4" t="s">
        <v>78</v>
      </c>
      <c r="F705" s="9" t="s">
        <v>81</v>
      </c>
      <c r="G705" s="4">
        <v>702</v>
      </c>
      <c r="H705" s="4">
        <v>197</v>
      </c>
      <c r="I705" s="4" t="s">
        <v>934</v>
      </c>
      <c r="J705" s="4" t="str">
        <f t="shared" si="20"/>
        <v>6303020000</v>
      </c>
      <c r="K705" s="1" t="s">
        <v>12</v>
      </c>
      <c r="L705" s="4" t="s">
        <v>176</v>
      </c>
      <c r="M705" s="8" t="s">
        <v>920</v>
      </c>
      <c r="N705" s="4" t="str">
        <f t="shared" si="21"/>
        <v>('1701','RPT_009', 'LabaTrialBalance3rdSegment', '6303020000 -  Rugi selisih kurs - belum direalisasi', 'Beban Usaha', 'Beban usaha lainnya', '702', '197', 'AND ma.main_account_id IN (6303020000)', 'G', 'Rugi selisih kurs', 0, 0),</v>
      </c>
    </row>
    <row r="706" spans="1:14" ht="27" x14ac:dyDescent="0.3">
      <c r="A706" s="4">
        <v>1702</v>
      </c>
      <c r="B706" s="4" t="s">
        <v>177</v>
      </c>
      <c r="C706" s="4" t="s">
        <v>178</v>
      </c>
      <c r="D706" s="7" t="s">
        <v>771</v>
      </c>
      <c r="E706" s="4" t="s">
        <v>78</v>
      </c>
      <c r="F706" s="9" t="s">
        <v>81</v>
      </c>
      <c r="G706" s="4">
        <v>703</v>
      </c>
      <c r="H706" s="4">
        <v>198</v>
      </c>
      <c r="I706" s="4" t="s">
        <v>934</v>
      </c>
      <c r="J706" s="4" t="str">
        <f t="shared" si="20"/>
        <v>6303020001</v>
      </c>
      <c r="K706" s="1" t="s">
        <v>12</v>
      </c>
      <c r="L706" s="4" t="s">
        <v>176</v>
      </c>
      <c r="M706" s="8" t="s">
        <v>920</v>
      </c>
      <c r="N706" s="4" t="str">
        <f t="shared" si="21"/>
        <v>('1702','RPT_009', 'LabaTrialBalance3rdSegment', '6303020001 - Rugi selisih kurs - belum direalisasi', 'Beban Usaha', 'Beban usaha lainnya', '703', '198', 'AND ma.main_account_id IN (6303020001)', 'G', 'Rugi selisih kurs', 0, 0),</v>
      </c>
    </row>
    <row r="707" spans="1:14" x14ac:dyDescent="0.3">
      <c r="A707" s="4">
        <v>1703</v>
      </c>
      <c r="B707" s="4" t="s">
        <v>177</v>
      </c>
      <c r="C707" s="4" t="s">
        <v>178</v>
      </c>
      <c r="D707" s="5" t="s">
        <v>75</v>
      </c>
      <c r="E707" s="4" t="s">
        <v>78</v>
      </c>
      <c r="F707" s="9" t="s">
        <v>81</v>
      </c>
      <c r="G707" s="4">
        <v>704</v>
      </c>
      <c r="H707" s="4">
        <v>199</v>
      </c>
      <c r="I707" s="4" t="s">
        <v>934</v>
      </c>
      <c r="J707" s="4" t="str">
        <f t="shared" si="20"/>
        <v>6399000000</v>
      </c>
      <c r="K707" s="1" t="s">
        <v>12</v>
      </c>
      <c r="L707" s="4" t="s">
        <v>176</v>
      </c>
      <c r="M707" s="8" t="s">
        <v>81</v>
      </c>
      <c r="N707" s="4" t="str">
        <f t="shared" si="21"/>
        <v>('1703','RPT_009', 'LabaTrialBalance3rdSegment', '6399000000 -  Beban usaha lainnya', 'Beban Usaha', 'Beban usaha lainnya', '704', '199', 'AND ma.main_account_id IN (6399000000)', 'G', 'Beban usaha lainnya', 0, 0),</v>
      </c>
    </row>
    <row r="708" spans="1:14" ht="27" x14ac:dyDescent="0.3">
      <c r="A708" s="4">
        <v>1704</v>
      </c>
      <c r="B708" s="4" t="s">
        <v>177</v>
      </c>
      <c r="C708" s="4" t="s">
        <v>178</v>
      </c>
      <c r="D708" s="6" t="s">
        <v>772</v>
      </c>
      <c r="E708" s="4" t="s">
        <v>78</v>
      </c>
      <c r="F708" s="9" t="s">
        <v>81</v>
      </c>
      <c r="G708" s="4">
        <v>705</v>
      </c>
      <c r="H708" s="4">
        <v>200</v>
      </c>
      <c r="I708" s="4" t="s">
        <v>934</v>
      </c>
      <c r="J708" s="4" t="str">
        <f t="shared" ref="J708:J771" si="22">_xlfn.TEXTBEFORE(D708," -")</f>
        <v>6399010000</v>
      </c>
      <c r="K708" s="1" t="s">
        <v>12</v>
      </c>
      <c r="L708" s="4" t="s">
        <v>176</v>
      </c>
      <c r="M708" s="8" t="s">
        <v>81</v>
      </c>
      <c r="N708" s="4" t="str">
        <f t="shared" si="21"/>
        <v>('1704','RPT_009', 'LabaTrialBalance3rdSegment', '6399010000 -  Beban laporan, dokumentasi, dan publikasi', 'Beban Usaha', 'Beban usaha lainnya', '705', '200', 'AND ma.main_account_id IN (6399010000)', 'G', 'Beban usaha lainnya', 0, 0),</v>
      </c>
    </row>
    <row r="709" spans="1:14" ht="27" x14ac:dyDescent="0.3">
      <c r="A709" s="4">
        <v>1705</v>
      </c>
      <c r="B709" s="4" t="s">
        <v>177</v>
      </c>
      <c r="C709" s="4" t="s">
        <v>178</v>
      </c>
      <c r="D709" s="7" t="s">
        <v>773</v>
      </c>
      <c r="E709" s="4" t="s">
        <v>78</v>
      </c>
      <c r="F709" s="9" t="s">
        <v>81</v>
      </c>
      <c r="G709" s="4">
        <v>706</v>
      </c>
      <c r="H709" s="4">
        <v>201</v>
      </c>
      <c r="I709" s="4" t="s">
        <v>934</v>
      </c>
      <c r="J709" s="4" t="str">
        <f t="shared" si="22"/>
        <v>6399010001</v>
      </c>
      <c r="K709" s="1" t="s">
        <v>12</v>
      </c>
      <c r="L709" s="4" t="s">
        <v>176</v>
      </c>
      <c r="M709" s="8" t="s">
        <v>81</v>
      </c>
      <c r="N709" s="4" t="str">
        <f t="shared" ref="N709:N772" si="23">"('"&amp;A709&amp;"','"&amp;B709&amp;"', '"&amp;C709&amp;"', '"&amp;D709&amp;"', '"&amp;E709&amp;"', '"&amp;F709&amp;"', '"&amp;G709&amp;"', '"&amp;H709&amp;"', '"&amp;I709&amp;J709&amp;K709&amp;"', '"&amp;L709&amp;"', '"&amp;M709&amp;"', 0, 0),"</f>
        <v>('1705','RPT_009', 'LabaTrialBalance3rdSegment', '6399010001 - Beban laporan, dokumentasi, dan publikasi', 'Beban Usaha', 'Beban usaha lainnya', '706', '201', 'AND ma.main_account_id IN (6399010001)', 'G', 'Beban usaha lainnya', 0, 0),</v>
      </c>
    </row>
    <row r="710" spans="1:14" ht="27" x14ac:dyDescent="0.3">
      <c r="A710" s="4">
        <v>1706</v>
      </c>
      <c r="B710" s="4" t="s">
        <v>177</v>
      </c>
      <c r="C710" s="4" t="s">
        <v>178</v>
      </c>
      <c r="D710" s="6" t="s">
        <v>774</v>
      </c>
      <c r="E710" s="4" t="s">
        <v>78</v>
      </c>
      <c r="F710" s="9" t="s">
        <v>81</v>
      </c>
      <c r="G710" s="4">
        <v>707</v>
      </c>
      <c r="H710" s="4">
        <v>202</v>
      </c>
      <c r="I710" s="4" t="s">
        <v>934</v>
      </c>
      <c r="J710" s="4" t="str">
        <f t="shared" si="22"/>
        <v>6399090000</v>
      </c>
      <c r="K710" s="1" t="s">
        <v>12</v>
      </c>
      <c r="L710" s="4" t="s">
        <v>176</v>
      </c>
      <c r="M710" s="8" t="s">
        <v>81</v>
      </c>
      <c r="N710" s="4" t="str">
        <f t="shared" si="23"/>
        <v>('1706','RPT_009', 'LabaTrialBalance3rdSegment', '6399090000 -  Beban Corporate Social Responsibility (CSR) / TJSL / PKBL', 'Beban Usaha', 'Beban usaha lainnya', '707', '202', 'AND ma.main_account_id IN (6399090000)', 'G', 'Beban usaha lainnya', 0, 0),</v>
      </c>
    </row>
    <row r="711" spans="1:14" ht="27" x14ac:dyDescent="0.3">
      <c r="A711" s="4">
        <v>1707</v>
      </c>
      <c r="B711" s="4" t="s">
        <v>177</v>
      </c>
      <c r="C711" s="4" t="s">
        <v>178</v>
      </c>
      <c r="D711" s="7" t="s">
        <v>775</v>
      </c>
      <c r="E711" s="4" t="s">
        <v>78</v>
      </c>
      <c r="F711" s="9" t="s">
        <v>81</v>
      </c>
      <c r="G711" s="4">
        <v>708</v>
      </c>
      <c r="H711" s="4">
        <v>203</v>
      </c>
      <c r="I711" s="4" t="s">
        <v>934</v>
      </c>
      <c r="J711" s="4" t="str">
        <f t="shared" si="22"/>
        <v>6399090001</v>
      </c>
      <c r="K711" s="1" t="s">
        <v>12</v>
      </c>
      <c r="L711" s="4" t="s">
        <v>176</v>
      </c>
      <c r="M711" s="8" t="s">
        <v>81</v>
      </c>
      <c r="N711" s="4" t="str">
        <f t="shared" si="23"/>
        <v>('1707','RPT_009', 'LabaTrialBalance3rdSegment', '6399090001 - Beban operasional TJSL - bina lingkungan', 'Beban Usaha', 'Beban usaha lainnya', '708', '203', 'AND ma.main_account_id IN (6399090001)', 'G', 'Beban usaha lainnya', 0, 0),</v>
      </c>
    </row>
    <row r="712" spans="1:14" x14ac:dyDescent="0.3">
      <c r="A712" s="4">
        <v>1708</v>
      </c>
      <c r="B712" s="4" t="s">
        <v>177</v>
      </c>
      <c r="C712" s="4" t="s">
        <v>178</v>
      </c>
      <c r="D712" s="6" t="s">
        <v>776</v>
      </c>
      <c r="E712" s="4" t="s">
        <v>78</v>
      </c>
      <c r="F712" s="9" t="s">
        <v>81</v>
      </c>
      <c r="G712" s="4">
        <v>709</v>
      </c>
      <c r="H712" s="4">
        <v>204</v>
      </c>
      <c r="I712" s="4" t="s">
        <v>934</v>
      </c>
      <c r="J712" s="4" t="str">
        <f t="shared" si="22"/>
        <v>6399110000</v>
      </c>
      <c r="K712" s="1" t="s">
        <v>12</v>
      </c>
      <c r="L712" s="4" t="s">
        <v>176</v>
      </c>
      <c r="M712" s="8" t="s">
        <v>81</v>
      </c>
      <c r="N712" s="4" t="str">
        <f t="shared" si="23"/>
        <v>('1708','RPT_009', 'LabaTrialBalance3rdSegment', '6399110000 -  Koran dan Majalah', 'Beban Usaha', 'Beban usaha lainnya', '709', '204', 'AND ma.main_account_id IN (6399110000)', 'G', 'Beban usaha lainnya', 0, 0),</v>
      </c>
    </row>
    <row r="713" spans="1:14" x14ac:dyDescent="0.3">
      <c r="A713" s="4">
        <v>1709</v>
      </c>
      <c r="B713" s="4" t="s">
        <v>177</v>
      </c>
      <c r="C713" s="4" t="s">
        <v>178</v>
      </c>
      <c r="D713" s="7" t="s">
        <v>777</v>
      </c>
      <c r="E713" s="4" t="s">
        <v>78</v>
      </c>
      <c r="F713" s="9" t="s">
        <v>81</v>
      </c>
      <c r="G713" s="4">
        <v>710</v>
      </c>
      <c r="H713" s="4">
        <v>205</v>
      </c>
      <c r="I713" s="4" t="s">
        <v>934</v>
      </c>
      <c r="J713" s="4" t="str">
        <f t="shared" si="22"/>
        <v>6399110001</v>
      </c>
      <c r="K713" s="1" t="s">
        <v>12</v>
      </c>
      <c r="L713" s="4" t="s">
        <v>176</v>
      </c>
      <c r="M713" s="8" t="s">
        <v>81</v>
      </c>
      <c r="N713" s="4" t="str">
        <f t="shared" si="23"/>
        <v>('1709','RPT_009', 'LabaTrialBalance3rdSegment', '6399110001 - Beban Koran dan Majalah', 'Beban Usaha', 'Beban usaha lainnya', '710', '205', 'AND ma.main_account_id IN (6399110001)', 'G', 'Beban usaha lainnya', 0, 0),</v>
      </c>
    </row>
    <row r="714" spans="1:14" x14ac:dyDescent="0.3">
      <c r="A714" s="4">
        <v>1710</v>
      </c>
      <c r="B714" s="4" t="s">
        <v>177</v>
      </c>
      <c r="C714" s="4" t="s">
        <v>178</v>
      </c>
      <c r="D714" s="6" t="s">
        <v>778</v>
      </c>
      <c r="E714" s="4" t="s">
        <v>78</v>
      </c>
      <c r="F714" s="9" t="s">
        <v>81</v>
      </c>
      <c r="G714" s="4">
        <v>711</v>
      </c>
      <c r="H714" s="4">
        <v>206</v>
      </c>
      <c r="I714" s="4" t="s">
        <v>934</v>
      </c>
      <c r="J714" s="4" t="str">
        <f t="shared" si="22"/>
        <v>6399120000</v>
      </c>
      <c r="K714" s="1" t="s">
        <v>12</v>
      </c>
      <c r="L714" s="4" t="s">
        <v>176</v>
      </c>
      <c r="M714" s="8" t="s">
        <v>81</v>
      </c>
      <c r="N714" s="4" t="str">
        <f t="shared" si="23"/>
        <v>('1710','RPT_009', 'LabaTrialBalance3rdSegment', '6399120000 -  Beban provisi', 'Beban Usaha', 'Beban usaha lainnya', '711', '206', 'AND ma.main_account_id IN (6399120000)', 'G', 'Beban usaha lainnya', 0, 0),</v>
      </c>
    </row>
    <row r="715" spans="1:14" x14ac:dyDescent="0.3">
      <c r="A715" s="4">
        <v>1711</v>
      </c>
      <c r="B715" s="4" t="s">
        <v>177</v>
      </c>
      <c r="C715" s="4" t="s">
        <v>178</v>
      </c>
      <c r="D715" s="7" t="s">
        <v>779</v>
      </c>
      <c r="E715" s="4" t="s">
        <v>78</v>
      </c>
      <c r="F715" s="9" t="s">
        <v>81</v>
      </c>
      <c r="G715" s="4">
        <v>712</v>
      </c>
      <c r="H715" s="4">
        <v>207</v>
      </c>
      <c r="I715" s="4" t="s">
        <v>934</v>
      </c>
      <c r="J715" s="4" t="str">
        <f t="shared" si="22"/>
        <v>6399120001</v>
      </c>
      <c r="K715" s="1" t="s">
        <v>12</v>
      </c>
      <c r="L715" s="4" t="s">
        <v>176</v>
      </c>
      <c r="M715" s="8" t="s">
        <v>81</v>
      </c>
      <c r="N715" s="4" t="str">
        <f t="shared" si="23"/>
        <v>('1711','RPT_009', 'LabaTrialBalance3rdSegment', '6399120001 - Beban provisi', 'Beban Usaha', 'Beban usaha lainnya', '712', '207', 'AND ma.main_account_id IN (6399120001)', 'G', 'Beban usaha lainnya', 0, 0),</v>
      </c>
    </row>
    <row r="716" spans="1:14" x14ac:dyDescent="0.3">
      <c r="A716" s="4">
        <v>1712</v>
      </c>
      <c r="B716" s="4" t="s">
        <v>177</v>
      </c>
      <c r="C716" s="4" t="s">
        <v>178</v>
      </c>
      <c r="D716" s="6" t="s">
        <v>780</v>
      </c>
      <c r="E716" s="4" t="s">
        <v>78</v>
      </c>
      <c r="F716" s="9" t="s">
        <v>81</v>
      </c>
      <c r="G716" s="4">
        <v>713</v>
      </c>
      <c r="H716" s="4">
        <v>208</v>
      </c>
      <c r="I716" s="4" t="s">
        <v>934</v>
      </c>
      <c r="J716" s="4" t="str">
        <f t="shared" si="22"/>
        <v>6399990000</v>
      </c>
      <c r="K716" s="1" t="s">
        <v>12</v>
      </c>
      <c r="L716" s="4" t="s">
        <v>176</v>
      </c>
      <c r="M716" s="8" t="s">
        <v>81</v>
      </c>
      <c r="N716" s="4" t="str">
        <f t="shared" si="23"/>
        <v>('1712','RPT_009', 'LabaTrialBalance3rdSegment', '6399990000 -  Beban usaha lainnya', 'Beban Usaha', 'Beban usaha lainnya', '713', '208', 'AND ma.main_account_id IN (6399990000)', 'G', 'Beban usaha lainnya', 0, 0),</v>
      </c>
    </row>
    <row r="717" spans="1:14" x14ac:dyDescent="0.3">
      <c r="A717" s="4">
        <v>1713</v>
      </c>
      <c r="B717" s="4" t="s">
        <v>177</v>
      </c>
      <c r="C717" s="4" t="s">
        <v>178</v>
      </c>
      <c r="D717" s="7" t="s">
        <v>781</v>
      </c>
      <c r="E717" s="4" t="s">
        <v>78</v>
      </c>
      <c r="F717" s="9" t="s">
        <v>81</v>
      </c>
      <c r="G717" s="4">
        <v>714</v>
      </c>
      <c r="H717" s="4">
        <v>209</v>
      </c>
      <c r="I717" s="4" t="s">
        <v>934</v>
      </c>
      <c r="J717" s="4" t="str">
        <f t="shared" si="22"/>
        <v>6399990001</v>
      </c>
      <c r="K717" s="1" t="s">
        <v>12</v>
      </c>
      <c r="L717" s="4" t="s">
        <v>176</v>
      </c>
      <c r="M717" s="8" t="s">
        <v>81</v>
      </c>
      <c r="N717" s="4" t="str">
        <f t="shared" si="23"/>
        <v>('1713','RPT_009', 'LabaTrialBalance3rdSegment', '6399990001 - Beban usaha lainnya', 'Beban Usaha', 'Beban usaha lainnya', '714', '209', 'AND ma.main_account_id IN (6399990001)', 'G', 'Beban usaha lainnya', 0, 0),</v>
      </c>
    </row>
    <row r="718" spans="1:14" x14ac:dyDescent="0.3">
      <c r="A718" s="4">
        <v>1714</v>
      </c>
      <c r="B718" s="4" t="s">
        <v>177</v>
      </c>
      <c r="C718" s="4" t="s">
        <v>178</v>
      </c>
      <c r="D718" s="3" t="s">
        <v>76</v>
      </c>
      <c r="E718" s="4" t="s">
        <v>78</v>
      </c>
      <c r="F718" s="9" t="s">
        <v>82</v>
      </c>
      <c r="G718" s="4">
        <v>715</v>
      </c>
      <c r="H718" s="4">
        <v>210</v>
      </c>
      <c r="I718" s="4" t="s">
        <v>934</v>
      </c>
      <c r="J718" s="4" t="str">
        <f t="shared" si="22"/>
        <v>6400000000</v>
      </c>
      <c r="K718" s="1" t="s">
        <v>12</v>
      </c>
      <c r="L718" s="4" t="s">
        <v>176</v>
      </c>
      <c r="M718" s="10" t="s">
        <v>82</v>
      </c>
      <c r="N718" s="4" t="str">
        <f t="shared" si="23"/>
        <v>('1714','RPT_009', 'LabaTrialBalance3rdSegment', '6400000000 - Pendapatan usaha lainnya', 'Beban Usaha', 'Pendapatan usaha lainnya', '715', '210', 'AND ma.main_account_id IN (6400000000)', 'G', 'Pendapatan usaha lainnya', 0, 0),</v>
      </c>
    </row>
    <row r="719" spans="1:14" x14ac:dyDescent="0.3">
      <c r="A719" s="4">
        <v>1715</v>
      </c>
      <c r="B719" s="4" t="s">
        <v>177</v>
      </c>
      <c r="C719" s="4" t="s">
        <v>178</v>
      </c>
      <c r="D719" s="5" t="s">
        <v>77</v>
      </c>
      <c r="E719" s="4" t="s">
        <v>78</v>
      </c>
      <c r="F719" s="9" t="s">
        <v>82</v>
      </c>
      <c r="G719" s="4">
        <v>716</v>
      </c>
      <c r="H719" s="4">
        <v>211</v>
      </c>
      <c r="I719" s="4" t="s">
        <v>934</v>
      </c>
      <c r="J719" s="4" t="str">
        <f t="shared" si="22"/>
        <v>6499000000</v>
      </c>
      <c r="K719" s="1" t="s">
        <v>12</v>
      </c>
      <c r="L719" s="4" t="s">
        <v>176</v>
      </c>
      <c r="M719" s="8" t="s">
        <v>82</v>
      </c>
      <c r="N719" s="4" t="str">
        <f t="shared" si="23"/>
        <v>('1715','RPT_009', 'LabaTrialBalance3rdSegment', '6499000000 -  Pendapatan usaha lainnya', 'Beban Usaha', 'Pendapatan usaha lainnya', '716', '211', 'AND ma.main_account_id IN (6499000000)', 'G', 'Pendapatan usaha lainnya', 0, 0),</v>
      </c>
    </row>
    <row r="720" spans="1:14" x14ac:dyDescent="0.3">
      <c r="A720" s="4">
        <v>1716</v>
      </c>
      <c r="B720" s="4" t="s">
        <v>177</v>
      </c>
      <c r="C720" s="4" t="s">
        <v>178</v>
      </c>
      <c r="D720" s="6" t="s">
        <v>782</v>
      </c>
      <c r="E720" s="4" t="s">
        <v>78</v>
      </c>
      <c r="F720" s="9" t="s">
        <v>82</v>
      </c>
      <c r="G720" s="4">
        <v>717</v>
      </c>
      <c r="H720" s="4">
        <v>212</v>
      </c>
      <c r="I720" s="4" t="s">
        <v>934</v>
      </c>
      <c r="J720" s="4" t="str">
        <f t="shared" si="22"/>
        <v>6499010000</v>
      </c>
      <c r="K720" s="1" t="s">
        <v>12</v>
      </c>
      <c r="L720" s="4" t="s">
        <v>176</v>
      </c>
      <c r="M720" s="8" t="s">
        <v>82</v>
      </c>
      <c r="N720" s="4" t="str">
        <f t="shared" si="23"/>
        <v>('1716','RPT_009', 'LabaTrialBalance3rdSegment', '6499010000 -  Pendapatan denda', 'Beban Usaha', 'Pendapatan usaha lainnya', '717', '212', 'AND ma.main_account_id IN (6499010000)', 'G', 'Pendapatan usaha lainnya', 0, 0),</v>
      </c>
    </row>
    <row r="721" spans="1:14" x14ac:dyDescent="0.3">
      <c r="A721" s="4">
        <v>1717</v>
      </c>
      <c r="B721" s="4" t="s">
        <v>177</v>
      </c>
      <c r="C721" s="4" t="s">
        <v>178</v>
      </c>
      <c r="D721" s="7" t="s">
        <v>783</v>
      </c>
      <c r="E721" s="4" t="s">
        <v>78</v>
      </c>
      <c r="F721" s="9" t="s">
        <v>82</v>
      </c>
      <c r="G721" s="4">
        <v>718</v>
      </c>
      <c r="H721" s="4">
        <v>213</v>
      </c>
      <c r="I721" s="4" t="s">
        <v>934</v>
      </c>
      <c r="J721" s="4" t="str">
        <f t="shared" si="22"/>
        <v>6499010001</v>
      </c>
      <c r="K721" s="1" t="s">
        <v>12</v>
      </c>
      <c r="L721" s="4" t="s">
        <v>176</v>
      </c>
      <c r="M721" s="8" t="s">
        <v>82</v>
      </c>
      <c r="N721" s="4" t="str">
        <f t="shared" si="23"/>
        <v>('1717','RPT_009', 'LabaTrialBalance3rdSegment', '6499010001 - Pendapatan denda', 'Beban Usaha', 'Pendapatan usaha lainnya', '718', '213', 'AND ma.main_account_id IN (6499010001)', 'G', 'Pendapatan usaha lainnya', 0, 0),</v>
      </c>
    </row>
    <row r="722" spans="1:14" x14ac:dyDescent="0.3">
      <c r="A722" s="4">
        <v>1718</v>
      </c>
      <c r="B722" s="4" t="s">
        <v>177</v>
      </c>
      <c r="C722" s="4" t="s">
        <v>178</v>
      </c>
      <c r="D722" s="6" t="s">
        <v>784</v>
      </c>
      <c r="E722" s="4" t="s">
        <v>78</v>
      </c>
      <c r="F722" s="9" t="s">
        <v>82</v>
      </c>
      <c r="G722" s="4">
        <v>719</v>
      </c>
      <c r="H722" s="4">
        <v>214</v>
      </c>
      <c r="I722" s="4" t="s">
        <v>934</v>
      </c>
      <c r="J722" s="4" t="str">
        <f t="shared" si="22"/>
        <v>6499120000</v>
      </c>
      <c r="K722" s="1" t="s">
        <v>12</v>
      </c>
      <c r="L722" s="4" t="s">
        <v>176</v>
      </c>
      <c r="M722" s="8" t="s">
        <v>82</v>
      </c>
      <c r="N722" s="4" t="str">
        <f t="shared" si="23"/>
        <v>('1718','RPT_009', 'LabaTrialBalance3rdSegment', '6499120000 -  Pendapatan royalti', 'Beban Usaha', 'Pendapatan usaha lainnya', '719', '214', 'AND ma.main_account_id IN (6499120000)', 'G', 'Pendapatan usaha lainnya', 0, 0),</v>
      </c>
    </row>
    <row r="723" spans="1:14" x14ac:dyDescent="0.3">
      <c r="A723" s="4">
        <v>1719</v>
      </c>
      <c r="B723" s="4" t="s">
        <v>177</v>
      </c>
      <c r="C723" s="4" t="s">
        <v>178</v>
      </c>
      <c r="D723" s="7" t="s">
        <v>785</v>
      </c>
      <c r="E723" s="4" t="s">
        <v>78</v>
      </c>
      <c r="F723" s="9" t="s">
        <v>82</v>
      </c>
      <c r="G723" s="4">
        <v>720</v>
      </c>
      <c r="H723" s="4">
        <v>215</v>
      </c>
      <c r="I723" s="4" t="s">
        <v>934</v>
      </c>
      <c r="J723" s="4" t="str">
        <f t="shared" si="22"/>
        <v>6499120001</v>
      </c>
      <c r="K723" s="1" t="s">
        <v>12</v>
      </c>
      <c r="L723" s="4" t="s">
        <v>176</v>
      </c>
      <c r="M723" s="8" t="s">
        <v>82</v>
      </c>
      <c r="N723" s="4" t="str">
        <f t="shared" si="23"/>
        <v>('1719','RPT_009', 'LabaTrialBalance3rdSegment', '6499120001 - Pendapatan royalti', 'Beban Usaha', 'Pendapatan usaha lainnya', '720', '215', 'AND ma.main_account_id IN (6499120001)', 'G', 'Pendapatan usaha lainnya', 0, 0),</v>
      </c>
    </row>
    <row r="724" spans="1:14" x14ac:dyDescent="0.3">
      <c r="A724" s="4">
        <v>1720</v>
      </c>
      <c r="B724" s="4" t="s">
        <v>177</v>
      </c>
      <c r="C724" s="4" t="s">
        <v>178</v>
      </c>
      <c r="D724" s="6" t="s">
        <v>786</v>
      </c>
      <c r="E724" s="4" t="s">
        <v>78</v>
      </c>
      <c r="F724" s="9" t="s">
        <v>82</v>
      </c>
      <c r="G724" s="4">
        <v>721</v>
      </c>
      <c r="H724" s="4">
        <v>216</v>
      </c>
      <c r="I724" s="4" t="s">
        <v>934</v>
      </c>
      <c r="J724" s="4" t="str">
        <f t="shared" si="22"/>
        <v>6499990000</v>
      </c>
      <c r="K724" s="1" t="s">
        <v>12</v>
      </c>
      <c r="L724" s="4" t="s">
        <v>176</v>
      </c>
      <c r="M724" s="8" t="s">
        <v>82</v>
      </c>
      <c r="N724" s="4" t="str">
        <f t="shared" si="23"/>
        <v>('1720','RPT_009', 'LabaTrialBalance3rdSegment', '6499990000 -  Pendapatan usaha lainnya', 'Beban Usaha', 'Pendapatan usaha lainnya', '721', '216', 'AND ma.main_account_id IN (6499990000)', 'G', 'Pendapatan usaha lainnya', 0, 0),</v>
      </c>
    </row>
    <row r="725" spans="1:14" ht="27" x14ac:dyDescent="0.3">
      <c r="A725" s="4">
        <v>1721</v>
      </c>
      <c r="B725" s="4" t="s">
        <v>177</v>
      </c>
      <c r="C725" s="4" t="s">
        <v>178</v>
      </c>
      <c r="D725" s="7" t="s">
        <v>787</v>
      </c>
      <c r="E725" s="4" t="s">
        <v>78</v>
      </c>
      <c r="F725" s="9" t="s">
        <v>82</v>
      </c>
      <c r="G725" s="4">
        <v>722</v>
      </c>
      <c r="H725" s="4">
        <v>217</v>
      </c>
      <c r="I725" s="4" t="s">
        <v>934</v>
      </c>
      <c r="J725" s="4" t="str">
        <f t="shared" si="22"/>
        <v>6499990001</v>
      </c>
      <c r="K725" s="1" t="s">
        <v>12</v>
      </c>
      <c r="L725" s="4" t="s">
        <v>176</v>
      </c>
      <c r="M725" s="8" t="s">
        <v>82</v>
      </c>
      <c r="N725" s="4" t="str">
        <f t="shared" si="23"/>
        <v>('1721','RPT_009', 'LabaTrialBalance3rdSegment', '6499990001 - Pendapatan usaha lainnya', 'Beban Usaha', 'Pendapatan usaha lainnya', '722', '217', 'AND ma.main_account_id IN (6499990001)', 'G', 'Pendapatan usaha lainnya', 0, 0),</v>
      </c>
    </row>
    <row r="726" spans="1:14" ht="26.4" x14ac:dyDescent="0.3">
      <c r="A726" s="4">
        <v>1722</v>
      </c>
      <c r="B726" s="4" t="s">
        <v>177</v>
      </c>
      <c r="C726" s="4" t="s">
        <v>178</v>
      </c>
      <c r="D726" s="2" t="s">
        <v>83</v>
      </c>
      <c r="E726" s="4" t="s">
        <v>85</v>
      </c>
      <c r="F726" s="9" t="s">
        <v>85</v>
      </c>
      <c r="G726" s="4">
        <v>723</v>
      </c>
      <c r="H726" s="4">
        <v>1</v>
      </c>
      <c r="I726" s="4" t="s">
        <v>934</v>
      </c>
      <c r="J726" s="4" t="str">
        <f t="shared" si="22"/>
        <v>7000000000</v>
      </c>
      <c r="K726" s="1" t="s">
        <v>12</v>
      </c>
      <c r="L726" s="4" t="s">
        <v>855</v>
      </c>
      <c r="M726" s="10" t="s">
        <v>85</v>
      </c>
      <c r="N726" s="4" t="str">
        <f t="shared" si="23"/>
        <v>('1722','RPT_009', 'LabaTrialBalance3rdSegment', '7000000000 - Beban (Pendapatan) non-usaha', 'Beban (Pendapatan) non-usaha', 'Beban (Pendapatan) non-usaha', '723', '1', 'AND ma.main_account_id IN (7000000000)', 'H', 'Beban (Pendapatan) non-usaha', 0, 0),</v>
      </c>
    </row>
    <row r="727" spans="1:14" x14ac:dyDescent="0.3">
      <c r="A727" s="4">
        <v>1723</v>
      </c>
      <c r="B727" s="4" t="s">
        <v>177</v>
      </c>
      <c r="C727" s="4" t="s">
        <v>178</v>
      </c>
      <c r="D727" s="3" t="s">
        <v>170</v>
      </c>
      <c r="E727" s="4" t="s">
        <v>85</v>
      </c>
      <c r="F727" s="9" t="s">
        <v>84</v>
      </c>
      <c r="G727" s="4">
        <v>724</v>
      </c>
      <c r="H727" s="4">
        <v>2</v>
      </c>
      <c r="I727" s="4" t="s">
        <v>934</v>
      </c>
      <c r="J727" s="4" t="str">
        <f t="shared" si="22"/>
        <v>7100000000</v>
      </c>
      <c r="K727" s="1" t="s">
        <v>12</v>
      </c>
      <c r="L727" s="4" t="s">
        <v>855</v>
      </c>
      <c r="M727" s="8" t="s">
        <v>933</v>
      </c>
      <c r="N727" s="4" t="str">
        <f t="shared" si="23"/>
        <v>('1723','RPT_009', 'LabaTrialBalance3rdSegment', '7100000000 - Pendapatan keuangan', 'Beban (Pendapatan) non-usaha', 'Pendapatan keuangan', '724', '2', 'AND ma.main_account_id IN (7100000000)', 'H', ' Pendapatan keuangan', 0, 0),</v>
      </c>
    </row>
    <row r="728" spans="1:14" ht="31.2" x14ac:dyDescent="0.3">
      <c r="A728" s="4">
        <v>1724</v>
      </c>
      <c r="B728" s="4" t="s">
        <v>177</v>
      </c>
      <c r="C728" s="4" t="s">
        <v>178</v>
      </c>
      <c r="D728" s="5" t="s">
        <v>86</v>
      </c>
      <c r="E728" s="4" t="s">
        <v>85</v>
      </c>
      <c r="F728" s="9" t="s">
        <v>84</v>
      </c>
      <c r="G728" s="4">
        <v>725</v>
      </c>
      <c r="H728" s="4">
        <v>3</v>
      </c>
      <c r="I728" s="4" t="s">
        <v>934</v>
      </c>
      <c r="J728" s="4" t="str">
        <f t="shared" si="22"/>
        <v>7102000000</v>
      </c>
      <c r="K728" s="1" t="s">
        <v>12</v>
      </c>
      <c r="L728" s="4" t="s">
        <v>855</v>
      </c>
      <c r="M728" s="8" t="s">
        <v>921</v>
      </c>
      <c r="N728" s="4" t="str">
        <f t="shared" si="23"/>
        <v>('1724','RPT_009', 'LabaTrialBalance3rdSegment', '7102000000 -  Pendapatan bunga - kontraktual', 'Beban (Pendapatan) non-usaha', 'Pendapatan keuangan', '725', '3', 'AND ma.main_account_id IN (7102000000)', 'H', 'Pendapatan bunga - kontraktual', 0, 0),</v>
      </c>
    </row>
    <row r="729" spans="1:14" ht="31.2" x14ac:dyDescent="0.3">
      <c r="A729" s="4">
        <v>1725</v>
      </c>
      <c r="B729" s="4" t="s">
        <v>177</v>
      </c>
      <c r="C729" s="4" t="s">
        <v>178</v>
      </c>
      <c r="D729" s="6" t="s">
        <v>788</v>
      </c>
      <c r="E729" s="4" t="s">
        <v>85</v>
      </c>
      <c r="F729" s="9" t="s">
        <v>84</v>
      </c>
      <c r="G729" s="4">
        <v>726</v>
      </c>
      <c r="H729" s="4">
        <v>4</v>
      </c>
      <c r="I729" s="4" t="s">
        <v>934</v>
      </c>
      <c r="J729" s="4" t="str">
        <f t="shared" si="22"/>
        <v>7102010000</v>
      </c>
      <c r="K729" s="1" t="s">
        <v>12</v>
      </c>
      <c r="L729" s="4" t="s">
        <v>855</v>
      </c>
      <c r="M729" s="8" t="s">
        <v>921</v>
      </c>
      <c r="N729" s="4" t="str">
        <f t="shared" si="23"/>
        <v>('1725','RPT_009', 'LabaTrialBalance3rdSegment', '7102010000 -  Pendapatan bunga jasa giro - pihak berelasi', 'Beban (Pendapatan) non-usaha', 'Pendapatan keuangan', '726', '4', 'AND ma.main_account_id IN (7102010000)', 'H', 'Pendapatan bunga - kontraktual', 0, 0),</v>
      </c>
    </row>
    <row r="730" spans="1:14" ht="31.2" x14ac:dyDescent="0.3">
      <c r="A730" s="4">
        <v>1726</v>
      </c>
      <c r="B730" s="4" t="s">
        <v>177</v>
      </c>
      <c r="C730" s="4" t="s">
        <v>178</v>
      </c>
      <c r="D730" s="7" t="s">
        <v>789</v>
      </c>
      <c r="E730" s="4" t="s">
        <v>85</v>
      </c>
      <c r="F730" s="9" t="s">
        <v>84</v>
      </c>
      <c r="G730" s="4">
        <v>727</v>
      </c>
      <c r="H730" s="4">
        <v>5</v>
      </c>
      <c r="I730" s="4" t="s">
        <v>934</v>
      </c>
      <c r="J730" s="4" t="str">
        <f t="shared" si="22"/>
        <v>7102010001</v>
      </c>
      <c r="K730" s="1" t="s">
        <v>12</v>
      </c>
      <c r="L730" s="4" t="s">
        <v>855</v>
      </c>
      <c r="M730" s="8" t="s">
        <v>921</v>
      </c>
      <c r="N730" s="4" t="str">
        <f t="shared" si="23"/>
        <v>('1726','RPT_009', 'LabaTrialBalance3rdSegment', '7102010001 - Pendapatan bunga jasa giro - Pihak berelasi', 'Beban (Pendapatan) non-usaha', 'Pendapatan keuangan', '727', '5', 'AND ma.main_account_id IN (7102010001)', 'H', 'Pendapatan bunga - kontraktual', 0, 0),</v>
      </c>
    </row>
    <row r="731" spans="1:14" ht="31.2" x14ac:dyDescent="0.3">
      <c r="A731" s="4">
        <v>1727</v>
      </c>
      <c r="B731" s="4" t="s">
        <v>177</v>
      </c>
      <c r="C731" s="4" t="s">
        <v>178</v>
      </c>
      <c r="D731" s="7" t="s">
        <v>790</v>
      </c>
      <c r="E731" s="4" t="s">
        <v>85</v>
      </c>
      <c r="F731" s="9" t="s">
        <v>84</v>
      </c>
      <c r="G731" s="4">
        <v>728</v>
      </c>
      <c r="H731" s="4">
        <v>6</v>
      </c>
      <c r="I731" s="4" t="s">
        <v>934</v>
      </c>
      <c r="J731" s="4" t="str">
        <f t="shared" si="22"/>
        <v>7102010002</v>
      </c>
      <c r="K731" s="1" t="s">
        <v>12</v>
      </c>
      <c r="L731" s="4" t="s">
        <v>855</v>
      </c>
      <c r="M731" s="8" t="s">
        <v>921</v>
      </c>
      <c r="N731" s="4" t="str">
        <f t="shared" si="23"/>
        <v>('1727','RPT_009', 'LabaTrialBalance3rdSegment', '7102010002 - Pendapatan bunga jasa giro PMN - Pihak berelasi', 'Beban (Pendapatan) non-usaha', 'Pendapatan keuangan', '728', '6', 'AND ma.main_account_id IN (7102010002)', 'H', 'Pendapatan bunga - kontraktual', 0, 0),</v>
      </c>
    </row>
    <row r="732" spans="1:14" ht="31.2" x14ac:dyDescent="0.3">
      <c r="A732" s="4">
        <v>1728</v>
      </c>
      <c r="B732" s="4" t="s">
        <v>177</v>
      </c>
      <c r="C732" s="4" t="s">
        <v>178</v>
      </c>
      <c r="D732" s="6" t="s">
        <v>791</v>
      </c>
      <c r="E732" s="4" t="s">
        <v>85</v>
      </c>
      <c r="F732" s="9" t="s">
        <v>84</v>
      </c>
      <c r="G732" s="4">
        <v>729</v>
      </c>
      <c r="H732" s="4">
        <v>7</v>
      </c>
      <c r="I732" s="4" t="s">
        <v>934</v>
      </c>
      <c r="J732" s="4" t="str">
        <f t="shared" si="22"/>
        <v>7102020000</v>
      </c>
      <c r="K732" s="1" t="s">
        <v>12</v>
      </c>
      <c r="L732" s="4" t="s">
        <v>855</v>
      </c>
      <c r="M732" s="8" t="s">
        <v>921</v>
      </c>
      <c r="N732" s="4" t="str">
        <f t="shared" si="23"/>
        <v>('1728','RPT_009', 'LabaTrialBalance3rdSegment', '7102020000 -  Pendapatan bunga jasa giro - pihak ketiga', 'Beban (Pendapatan) non-usaha', 'Pendapatan keuangan', '729', '7', 'AND ma.main_account_id IN (7102020000)', 'H', 'Pendapatan bunga - kontraktual', 0, 0),</v>
      </c>
    </row>
    <row r="733" spans="1:14" ht="31.2" x14ac:dyDescent="0.3">
      <c r="A733" s="4">
        <v>1729</v>
      </c>
      <c r="B733" s="4" t="s">
        <v>177</v>
      </c>
      <c r="C733" s="4" t="s">
        <v>178</v>
      </c>
      <c r="D733" s="7" t="s">
        <v>792</v>
      </c>
      <c r="E733" s="4" t="s">
        <v>85</v>
      </c>
      <c r="F733" s="9" t="s">
        <v>84</v>
      </c>
      <c r="G733" s="4">
        <v>730</v>
      </c>
      <c r="H733" s="4">
        <v>8</v>
      </c>
      <c r="I733" s="4" t="s">
        <v>934</v>
      </c>
      <c r="J733" s="4" t="str">
        <f t="shared" si="22"/>
        <v>7102020001</v>
      </c>
      <c r="K733" s="1" t="s">
        <v>12</v>
      </c>
      <c r="L733" s="4" t="s">
        <v>855</v>
      </c>
      <c r="M733" s="8" t="s">
        <v>921</v>
      </c>
      <c r="N733" s="4" t="str">
        <f t="shared" si="23"/>
        <v>('1729','RPT_009', 'LabaTrialBalance3rdSegment', '7102020001 - Pendapatan bunga jasa giro - Pihak ketiga', 'Beban (Pendapatan) non-usaha', 'Pendapatan keuangan', '730', '8', 'AND ma.main_account_id IN (7102020001)', 'H', 'Pendapatan bunga - kontraktual', 0, 0),</v>
      </c>
    </row>
    <row r="734" spans="1:14" ht="31.2" x14ac:dyDescent="0.3">
      <c r="A734" s="4">
        <v>1730</v>
      </c>
      <c r="B734" s="4" t="s">
        <v>177</v>
      </c>
      <c r="C734" s="4" t="s">
        <v>178</v>
      </c>
      <c r="D734" s="7" t="s">
        <v>793</v>
      </c>
      <c r="E734" s="4" t="s">
        <v>85</v>
      </c>
      <c r="F734" s="9" t="s">
        <v>84</v>
      </c>
      <c r="G734" s="4">
        <v>731</v>
      </c>
      <c r="H734" s="4">
        <v>9</v>
      </c>
      <c r="I734" s="4" t="s">
        <v>934</v>
      </c>
      <c r="J734" s="4" t="str">
        <f t="shared" si="22"/>
        <v>7102020002</v>
      </c>
      <c r="K734" s="1" t="s">
        <v>12</v>
      </c>
      <c r="L734" s="4" t="s">
        <v>855</v>
      </c>
      <c r="M734" s="8" t="s">
        <v>921</v>
      </c>
      <c r="N734" s="4" t="str">
        <f t="shared" si="23"/>
        <v>('1730','RPT_009', 'LabaTrialBalance3rdSegment', '7102020002 - Pendapatan bunga jasa giro PMN - Pihak ketiga', 'Beban (Pendapatan) non-usaha', 'Pendapatan keuangan', '731', '9', 'AND ma.main_account_id IN (7102020002)', 'H', 'Pendapatan bunga - kontraktual', 0, 0),</v>
      </c>
    </row>
    <row r="735" spans="1:14" ht="31.2" x14ac:dyDescent="0.3">
      <c r="A735" s="4">
        <v>1731</v>
      </c>
      <c r="B735" s="4" t="s">
        <v>177</v>
      </c>
      <c r="C735" s="4" t="s">
        <v>178</v>
      </c>
      <c r="D735" s="6" t="s">
        <v>794</v>
      </c>
      <c r="E735" s="4" t="s">
        <v>85</v>
      </c>
      <c r="F735" s="9" t="s">
        <v>84</v>
      </c>
      <c r="G735" s="4">
        <v>732</v>
      </c>
      <c r="H735" s="4">
        <v>10</v>
      </c>
      <c r="I735" s="4" t="s">
        <v>934</v>
      </c>
      <c r="J735" s="4" t="str">
        <f t="shared" si="22"/>
        <v>7102100000</v>
      </c>
      <c r="K735" s="1" t="s">
        <v>12</v>
      </c>
      <c r="L735" s="4" t="s">
        <v>855</v>
      </c>
      <c r="M735" s="8" t="s">
        <v>921</v>
      </c>
      <c r="N735" s="4" t="str">
        <f t="shared" si="23"/>
        <v>('1731','RPT_009', 'LabaTrialBalance3rdSegment', '7102100000 -  Pendapatan bunga tabungan - pihak berelasi', 'Beban (Pendapatan) non-usaha', 'Pendapatan keuangan', '732', '10', 'AND ma.main_account_id IN (7102100000)', 'H', 'Pendapatan bunga - kontraktual', 0, 0),</v>
      </c>
    </row>
    <row r="736" spans="1:14" ht="31.2" x14ac:dyDescent="0.3">
      <c r="A736" s="4">
        <v>1732</v>
      </c>
      <c r="B736" s="4" t="s">
        <v>177</v>
      </c>
      <c r="C736" s="4" t="s">
        <v>178</v>
      </c>
      <c r="D736" s="7" t="s">
        <v>795</v>
      </c>
      <c r="E736" s="4" t="s">
        <v>85</v>
      </c>
      <c r="F736" s="9" t="s">
        <v>84</v>
      </c>
      <c r="G736" s="4">
        <v>733</v>
      </c>
      <c r="H736" s="4">
        <v>11</v>
      </c>
      <c r="I736" s="4" t="s">
        <v>934</v>
      </c>
      <c r="J736" s="4" t="str">
        <f t="shared" si="22"/>
        <v>7102100001</v>
      </c>
      <c r="K736" s="1" t="s">
        <v>12</v>
      </c>
      <c r="L736" s="4" t="s">
        <v>855</v>
      </c>
      <c r="M736" s="8" t="s">
        <v>921</v>
      </c>
      <c r="N736" s="4" t="str">
        <f t="shared" si="23"/>
        <v>('1732','RPT_009', 'LabaTrialBalance3rdSegment', '7102100001 - Pendapatan bunga tabungan - Pihak berelasi', 'Beban (Pendapatan) non-usaha', 'Pendapatan keuangan', '733', '11', 'AND ma.main_account_id IN (7102100001)', 'H', 'Pendapatan bunga - kontraktual', 0, 0),</v>
      </c>
    </row>
    <row r="737" spans="1:14" ht="31.2" x14ac:dyDescent="0.3">
      <c r="A737" s="4">
        <v>1733</v>
      </c>
      <c r="B737" s="4" t="s">
        <v>177</v>
      </c>
      <c r="C737" s="4" t="s">
        <v>178</v>
      </c>
      <c r="D737" s="6" t="s">
        <v>796</v>
      </c>
      <c r="E737" s="4" t="s">
        <v>85</v>
      </c>
      <c r="F737" s="9" t="s">
        <v>84</v>
      </c>
      <c r="G737" s="4">
        <v>734</v>
      </c>
      <c r="H737" s="4">
        <v>12</v>
      </c>
      <c r="I737" s="4" t="s">
        <v>934</v>
      </c>
      <c r="J737" s="4" t="str">
        <f t="shared" si="22"/>
        <v>7102110000</v>
      </c>
      <c r="K737" s="1" t="s">
        <v>12</v>
      </c>
      <c r="L737" s="4" t="s">
        <v>855</v>
      </c>
      <c r="M737" s="8" t="s">
        <v>921</v>
      </c>
      <c r="N737" s="4" t="str">
        <f t="shared" si="23"/>
        <v>('1733','RPT_009', 'LabaTrialBalance3rdSegment', '7102110000 -  Pendapatan bunga tabungan - pihak ketiga', 'Beban (Pendapatan) non-usaha', 'Pendapatan keuangan', '734', '12', 'AND ma.main_account_id IN (7102110000)', 'H', 'Pendapatan bunga - kontraktual', 0, 0),</v>
      </c>
    </row>
    <row r="738" spans="1:14" ht="31.2" x14ac:dyDescent="0.3">
      <c r="A738" s="4">
        <v>1734</v>
      </c>
      <c r="B738" s="4" t="s">
        <v>177</v>
      </c>
      <c r="C738" s="4" t="s">
        <v>178</v>
      </c>
      <c r="D738" s="7" t="s">
        <v>797</v>
      </c>
      <c r="E738" s="4" t="s">
        <v>85</v>
      </c>
      <c r="F738" s="9" t="s">
        <v>84</v>
      </c>
      <c r="G738" s="4">
        <v>735</v>
      </c>
      <c r="H738" s="4">
        <v>13</v>
      </c>
      <c r="I738" s="4" t="s">
        <v>934</v>
      </c>
      <c r="J738" s="4" t="str">
        <f t="shared" si="22"/>
        <v>7102110001</v>
      </c>
      <c r="K738" s="1" t="s">
        <v>12</v>
      </c>
      <c r="L738" s="4" t="s">
        <v>855</v>
      </c>
      <c r="M738" s="8" t="s">
        <v>921</v>
      </c>
      <c r="N738" s="4" t="str">
        <f t="shared" si="23"/>
        <v>('1734','RPT_009', 'LabaTrialBalance3rdSegment', '7102110001 - Pendapatan bunga tabungan - Pihak ketiga', 'Beban (Pendapatan) non-usaha', 'Pendapatan keuangan', '735', '13', 'AND ma.main_account_id IN (7102110001)', 'H', 'Pendapatan bunga - kontraktual', 0, 0),</v>
      </c>
    </row>
    <row r="739" spans="1:14" ht="31.2" x14ac:dyDescent="0.3">
      <c r="A739" s="4">
        <v>1735</v>
      </c>
      <c r="B739" s="4" t="s">
        <v>177</v>
      </c>
      <c r="C739" s="4" t="s">
        <v>178</v>
      </c>
      <c r="D739" s="6" t="s">
        <v>798</v>
      </c>
      <c r="E739" s="4" t="s">
        <v>85</v>
      </c>
      <c r="F739" s="9" t="s">
        <v>84</v>
      </c>
      <c r="G739" s="4">
        <v>736</v>
      </c>
      <c r="H739" s="4">
        <v>14</v>
      </c>
      <c r="I739" s="4" t="s">
        <v>934</v>
      </c>
      <c r="J739" s="4" t="str">
        <f t="shared" si="22"/>
        <v>7102200000</v>
      </c>
      <c r="K739" s="1" t="s">
        <v>12</v>
      </c>
      <c r="L739" s="4" t="s">
        <v>855</v>
      </c>
      <c r="M739" s="8" t="s">
        <v>921</v>
      </c>
      <c r="N739" s="4" t="str">
        <f t="shared" si="23"/>
        <v>('1735','RPT_009', 'LabaTrialBalance3rdSegment', '7102200000 -  Pendapatan bunga dari deposito berjangka - pihak berelasi', 'Beban (Pendapatan) non-usaha', 'Pendapatan keuangan', '736', '14', 'AND ma.main_account_id IN (7102200000)', 'H', 'Pendapatan bunga - kontraktual', 0, 0),</v>
      </c>
    </row>
    <row r="740" spans="1:14" ht="31.2" x14ac:dyDescent="0.3">
      <c r="A740" s="4">
        <v>1736</v>
      </c>
      <c r="B740" s="4" t="s">
        <v>177</v>
      </c>
      <c r="C740" s="4" t="s">
        <v>178</v>
      </c>
      <c r="D740" s="7" t="s">
        <v>799</v>
      </c>
      <c r="E740" s="4" t="s">
        <v>85</v>
      </c>
      <c r="F740" s="9" t="s">
        <v>84</v>
      </c>
      <c r="G740" s="4">
        <v>737</v>
      </c>
      <c r="H740" s="4">
        <v>15</v>
      </c>
      <c r="I740" s="4" t="s">
        <v>934</v>
      </c>
      <c r="J740" s="4" t="str">
        <f t="shared" si="22"/>
        <v>7102200001</v>
      </c>
      <c r="K740" s="1" t="s">
        <v>12</v>
      </c>
      <c r="L740" s="4" t="s">
        <v>855</v>
      </c>
      <c r="M740" s="8" t="s">
        <v>921</v>
      </c>
      <c r="N740" s="4" t="str">
        <f t="shared" si="23"/>
        <v>('1736','RPT_009', 'LabaTrialBalance3rdSegment', '7102200001 - Pendapatan bunga deposito - Pihak berelasi', 'Beban (Pendapatan) non-usaha', 'Pendapatan keuangan', '737', '15', 'AND ma.main_account_id IN (7102200001)', 'H', 'Pendapatan bunga - kontraktual', 0, 0),</v>
      </c>
    </row>
    <row r="741" spans="1:14" ht="31.2" x14ac:dyDescent="0.3">
      <c r="A741" s="4">
        <v>1737</v>
      </c>
      <c r="B741" s="4" t="s">
        <v>177</v>
      </c>
      <c r="C741" s="4" t="s">
        <v>178</v>
      </c>
      <c r="D741" s="6" t="s">
        <v>800</v>
      </c>
      <c r="E741" s="4" t="s">
        <v>85</v>
      </c>
      <c r="F741" s="9" t="s">
        <v>84</v>
      </c>
      <c r="G741" s="4">
        <v>738</v>
      </c>
      <c r="H741" s="4">
        <v>16</v>
      </c>
      <c r="I741" s="4" t="s">
        <v>934</v>
      </c>
      <c r="J741" s="4" t="str">
        <f t="shared" si="22"/>
        <v>7102210000</v>
      </c>
      <c r="K741" s="1" t="s">
        <v>12</v>
      </c>
      <c r="L741" s="4" t="s">
        <v>855</v>
      </c>
      <c r="M741" s="8" t="s">
        <v>921</v>
      </c>
      <c r="N741" s="4" t="str">
        <f t="shared" si="23"/>
        <v>('1737','RPT_009', 'LabaTrialBalance3rdSegment', '7102210000 -  Pendapatan bunga dari deposito berjangka - pihak ketiga', 'Beban (Pendapatan) non-usaha', 'Pendapatan keuangan', '738', '16', 'AND ma.main_account_id IN (7102210000)', 'H', 'Pendapatan bunga - kontraktual', 0, 0),</v>
      </c>
    </row>
    <row r="742" spans="1:14" ht="31.2" x14ac:dyDescent="0.3">
      <c r="A742" s="4">
        <v>1738</v>
      </c>
      <c r="B742" s="4" t="s">
        <v>177</v>
      </c>
      <c r="C742" s="4" t="s">
        <v>178</v>
      </c>
      <c r="D742" s="7" t="s">
        <v>801</v>
      </c>
      <c r="E742" s="4" t="s">
        <v>85</v>
      </c>
      <c r="F742" s="9" t="s">
        <v>84</v>
      </c>
      <c r="G742" s="4">
        <v>739</v>
      </c>
      <c r="H742" s="4">
        <v>17</v>
      </c>
      <c r="I742" s="4" t="s">
        <v>934</v>
      </c>
      <c r="J742" s="4" t="str">
        <f t="shared" si="22"/>
        <v>7102210001</v>
      </c>
      <c r="K742" s="1" t="s">
        <v>12</v>
      </c>
      <c r="L742" s="4" t="s">
        <v>855</v>
      </c>
      <c r="M742" s="8" t="s">
        <v>921</v>
      </c>
      <c r="N742" s="4" t="str">
        <f t="shared" si="23"/>
        <v>('1738','RPT_009', 'LabaTrialBalance3rdSegment', '7102210001 - Pendapatan bunga deposito - Pihak ketiga', 'Beban (Pendapatan) non-usaha', 'Pendapatan keuangan', '739', '17', 'AND ma.main_account_id IN (7102210001)', 'H', 'Pendapatan bunga - kontraktual', 0, 0),</v>
      </c>
    </row>
    <row r="743" spans="1:14" ht="40.200000000000003" x14ac:dyDescent="0.3">
      <c r="A743" s="4">
        <v>1739</v>
      </c>
      <c r="B743" s="4" t="s">
        <v>177</v>
      </c>
      <c r="C743" s="4" t="s">
        <v>178</v>
      </c>
      <c r="D743" s="6" t="s">
        <v>802</v>
      </c>
      <c r="E743" s="4" t="s">
        <v>85</v>
      </c>
      <c r="F743" s="9" t="s">
        <v>84</v>
      </c>
      <c r="G743" s="4">
        <v>740</v>
      </c>
      <c r="H743" s="4">
        <v>18</v>
      </c>
      <c r="I743" s="4" t="s">
        <v>934</v>
      </c>
      <c r="J743" s="4" t="str">
        <f t="shared" si="22"/>
        <v>7102320000</v>
      </c>
      <c r="K743" s="1" t="s">
        <v>12</v>
      </c>
      <c r="L743" s="4" t="s">
        <v>855</v>
      </c>
      <c r="M743" s="8" t="s">
        <v>921</v>
      </c>
      <c r="N743" s="4" t="str">
        <f t="shared" si="23"/>
        <v>('1739','RPT_009', 'LabaTrialBalance3rdSegment', '7102320000 -  Pendapatan bunga - investasi aset keuangan pada nilai wajar melalui laba rugi - pihak berelasi lainnya', 'Beban (Pendapatan) non-usaha', 'Pendapatan keuangan', '740', '18', 'AND ma.main_account_id IN (7102320000)', 'H', 'Pendapatan bunga - kontraktual', 0, 0),</v>
      </c>
    </row>
    <row r="744" spans="1:14" ht="53.4" x14ac:dyDescent="0.3">
      <c r="A744" s="4">
        <v>1740</v>
      </c>
      <c r="B744" s="4" t="s">
        <v>177</v>
      </c>
      <c r="C744" s="4" t="s">
        <v>178</v>
      </c>
      <c r="D744" s="7" t="s">
        <v>803</v>
      </c>
      <c r="E744" s="4" t="s">
        <v>85</v>
      </c>
      <c r="F744" s="9" t="s">
        <v>84</v>
      </c>
      <c r="G744" s="4">
        <v>741</v>
      </c>
      <c r="H744" s="4">
        <v>19</v>
      </c>
      <c r="I744" s="4" t="s">
        <v>934</v>
      </c>
      <c r="J744" s="4" t="str">
        <f t="shared" si="22"/>
        <v>7102320001</v>
      </c>
      <c r="K744" s="1" t="s">
        <v>12</v>
      </c>
      <c r="L744" s="4" t="s">
        <v>855</v>
      </c>
      <c r="M744" s="8" t="s">
        <v>921</v>
      </c>
      <c r="N744" s="4" t="str">
        <f t="shared" si="23"/>
        <v>('1740','RPT_009', 'LabaTrialBalance3rdSegment', '7102320001 - Pendapatan bunga - investasi aset keuangan surat berharga pada nilai wajar melalui laba rugi - Pihak berelasi lainnya', 'Beban (Pendapatan) non-usaha', 'Pendapatan keuangan', '741', '19', 'AND ma.main_account_id IN (7102320001)', 'H', 'Pendapatan bunga - kontraktual', 0, 0),</v>
      </c>
    </row>
    <row r="745" spans="1:14" x14ac:dyDescent="0.3">
      <c r="A745" s="4">
        <v>1741</v>
      </c>
      <c r="B745" s="4" t="s">
        <v>177</v>
      </c>
      <c r="C745" s="4" t="s">
        <v>178</v>
      </c>
      <c r="D745" s="3" t="s">
        <v>87</v>
      </c>
      <c r="E745" s="4" t="s">
        <v>85</v>
      </c>
      <c r="F745" s="9" t="s">
        <v>88</v>
      </c>
      <c r="G745" s="4">
        <v>742</v>
      </c>
      <c r="H745" s="4">
        <v>20</v>
      </c>
      <c r="I745" s="4" t="s">
        <v>934</v>
      </c>
      <c r="J745" s="4" t="str">
        <f t="shared" si="22"/>
        <v>7200000000</v>
      </c>
      <c r="K745" s="1" t="s">
        <v>12</v>
      </c>
      <c r="L745" s="4" t="s">
        <v>855</v>
      </c>
      <c r="M745" s="10" t="s">
        <v>88</v>
      </c>
      <c r="N745" s="4" t="str">
        <f t="shared" si="23"/>
        <v>('1741','RPT_009', 'LabaTrialBalance3rdSegment', '7200000000 - Beban keuangan', 'Beban (Pendapatan) non-usaha', 'Beban keuangan', '742', '20', 'AND ma.main_account_id IN (7200000000)', 'H', 'Beban keuangan', 0, 0),</v>
      </c>
    </row>
    <row r="746" spans="1:14" x14ac:dyDescent="0.3">
      <c r="A746" s="4">
        <v>1742</v>
      </c>
      <c r="B746" s="4" t="s">
        <v>177</v>
      </c>
      <c r="C746" s="4" t="s">
        <v>178</v>
      </c>
      <c r="D746" s="5" t="s">
        <v>89</v>
      </c>
      <c r="E746" s="4" t="s">
        <v>85</v>
      </c>
      <c r="F746" s="9" t="s">
        <v>88</v>
      </c>
      <c r="G746" s="4">
        <v>743</v>
      </c>
      <c r="H746" s="4">
        <v>21</v>
      </c>
      <c r="I746" s="4" t="s">
        <v>934</v>
      </c>
      <c r="J746" s="4" t="str">
        <f t="shared" si="22"/>
        <v>7202000000</v>
      </c>
      <c r="K746" s="1" t="s">
        <v>12</v>
      </c>
      <c r="L746" s="4" t="s">
        <v>855</v>
      </c>
      <c r="M746" s="8" t="s">
        <v>922</v>
      </c>
      <c r="N746" s="4" t="str">
        <f t="shared" si="23"/>
        <v>('1742','RPT_009', 'LabaTrialBalance3rdSegment', '7202000000 -  Beban bunga - kontraktual', 'Beban (Pendapatan) non-usaha', 'Beban keuangan', '743', '21', 'AND ma.main_account_id IN (7202000000)', 'H', 'Beban bunga - kontraktual', 0, 0),</v>
      </c>
    </row>
    <row r="747" spans="1:14" ht="40.200000000000003" x14ac:dyDescent="0.3">
      <c r="A747" s="4">
        <v>1743</v>
      </c>
      <c r="B747" s="4" t="s">
        <v>177</v>
      </c>
      <c r="C747" s="4" t="s">
        <v>178</v>
      </c>
      <c r="D747" s="6" t="s">
        <v>804</v>
      </c>
      <c r="E747" s="4" t="s">
        <v>85</v>
      </c>
      <c r="F747" s="9" t="s">
        <v>88</v>
      </c>
      <c r="G747" s="4">
        <v>744</v>
      </c>
      <c r="H747" s="4">
        <v>22</v>
      </c>
      <c r="I747" s="4" t="s">
        <v>934</v>
      </c>
      <c r="J747" s="4" t="str">
        <f t="shared" si="22"/>
        <v>7202010000</v>
      </c>
      <c r="K747" s="1" t="s">
        <v>12</v>
      </c>
      <c r="L747" s="4" t="s">
        <v>855</v>
      </c>
      <c r="M747" s="8" t="s">
        <v>922</v>
      </c>
      <c r="N747" s="4" t="str">
        <f t="shared" si="23"/>
        <v>('1743','RPT_009', 'LabaTrialBalance3rdSegment', '7202010000 -  Beban bunga dari pinjaman bank dan LK non-bank - fasilitas jangka pendek - pihak berelasi', 'Beban (Pendapatan) non-usaha', 'Beban keuangan', '744', '22', 'AND ma.main_account_id IN (7202010000)', 'H', 'Beban bunga - kontraktual', 0, 0),</v>
      </c>
    </row>
    <row r="748" spans="1:14" ht="40.200000000000003" x14ac:dyDescent="0.3">
      <c r="A748" s="4">
        <v>1744</v>
      </c>
      <c r="B748" s="4" t="s">
        <v>177</v>
      </c>
      <c r="C748" s="4" t="s">
        <v>178</v>
      </c>
      <c r="D748" s="7" t="s">
        <v>805</v>
      </c>
      <c r="E748" s="4" t="s">
        <v>85</v>
      </c>
      <c r="F748" s="9" t="s">
        <v>88</v>
      </c>
      <c r="G748" s="4">
        <v>745</v>
      </c>
      <c r="H748" s="4">
        <v>23</v>
      </c>
      <c r="I748" s="4" t="s">
        <v>934</v>
      </c>
      <c r="J748" s="4" t="str">
        <f t="shared" si="22"/>
        <v>7202010001</v>
      </c>
      <c r="K748" s="1" t="s">
        <v>12</v>
      </c>
      <c r="L748" s="4" t="s">
        <v>855</v>
      </c>
      <c r="M748" s="8" t="s">
        <v>922</v>
      </c>
      <c r="N748" s="4" t="str">
        <f t="shared" si="23"/>
        <v>('1744','RPT_009', 'LabaTrialBalance3rdSegment', '7202010001 - Beban bunga dari pinjaman bank dan LK non-bank - fasilitas jangka pendek - Pihak berelasi', 'Beban (Pendapatan) non-usaha', 'Beban keuangan', '745', '23', 'AND ma.main_account_id IN (7202010001)', 'H', 'Beban bunga - kontraktual', 0, 0),</v>
      </c>
    </row>
    <row r="749" spans="1:14" ht="40.200000000000003" x14ac:dyDescent="0.3">
      <c r="A749" s="4">
        <v>1745</v>
      </c>
      <c r="B749" s="4" t="s">
        <v>177</v>
      </c>
      <c r="C749" s="4" t="s">
        <v>178</v>
      </c>
      <c r="D749" s="6" t="s">
        <v>806</v>
      </c>
      <c r="E749" s="4" t="s">
        <v>85</v>
      </c>
      <c r="F749" s="9" t="s">
        <v>88</v>
      </c>
      <c r="G749" s="4">
        <v>746</v>
      </c>
      <c r="H749" s="4">
        <v>24</v>
      </c>
      <c r="I749" s="4" t="s">
        <v>934</v>
      </c>
      <c r="J749" s="4" t="str">
        <f t="shared" si="22"/>
        <v>7202020000</v>
      </c>
      <c r="K749" s="1" t="s">
        <v>12</v>
      </c>
      <c r="L749" s="4" t="s">
        <v>855</v>
      </c>
      <c r="M749" s="8" t="s">
        <v>922</v>
      </c>
      <c r="N749" s="4" t="str">
        <f t="shared" si="23"/>
        <v>('1745','RPT_009', 'LabaTrialBalance3rdSegment', '7202020000 -  Beban bunga dari pinjaman bank dan LK non-bank - fasilitas jangka pendek - pihak ketiga', 'Beban (Pendapatan) non-usaha', 'Beban keuangan', '746', '24', 'AND ma.main_account_id IN (7202020000)', 'H', 'Beban bunga - kontraktual', 0, 0),</v>
      </c>
    </row>
    <row r="750" spans="1:14" ht="40.200000000000003" x14ac:dyDescent="0.3">
      <c r="A750" s="4">
        <v>1746</v>
      </c>
      <c r="B750" s="4" t="s">
        <v>177</v>
      </c>
      <c r="C750" s="4" t="s">
        <v>178</v>
      </c>
      <c r="D750" s="7" t="s">
        <v>807</v>
      </c>
      <c r="E750" s="4" t="s">
        <v>85</v>
      </c>
      <c r="F750" s="9" t="s">
        <v>88</v>
      </c>
      <c r="G750" s="4">
        <v>747</v>
      </c>
      <c r="H750" s="4">
        <v>25</v>
      </c>
      <c r="I750" s="4" t="s">
        <v>934</v>
      </c>
      <c r="J750" s="4" t="str">
        <f t="shared" si="22"/>
        <v>7202020001</v>
      </c>
      <c r="K750" s="1" t="s">
        <v>12</v>
      </c>
      <c r="L750" s="4" t="s">
        <v>855</v>
      </c>
      <c r="M750" s="8" t="s">
        <v>922</v>
      </c>
      <c r="N750" s="4" t="str">
        <f t="shared" si="23"/>
        <v>('1746','RPT_009', 'LabaTrialBalance3rdSegment', '7202020001 - Beban bunga dari pinjaman bank dan LK non-bank - fasilitas jangka pendek - Pihak ketiga', 'Beban (Pendapatan) non-usaha', 'Beban keuangan', '747', '25', 'AND ma.main_account_id IN (7202020001)', 'H', 'Beban bunga - kontraktual', 0, 0),</v>
      </c>
    </row>
    <row r="751" spans="1:14" ht="40.200000000000003" x14ac:dyDescent="0.3">
      <c r="A751" s="4">
        <v>1747</v>
      </c>
      <c r="B751" s="4" t="s">
        <v>177</v>
      </c>
      <c r="C751" s="4" t="s">
        <v>178</v>
      </c>
      <c r="D751" s="6" t="s">
        <v>808</v>
      </c>
      <c r="E751" s="4" t="s">
        <v>85</v>
      </c>
      <c r="F751" s="9" t="s">
        <v>88</v>
      </c>
      <c r="G751" s="4">
        <v>748</v>
      </c>
      <c r="H751" s="4">
        <v>26</v>
      </c>
      <c r="I751" s="4" t="s">
        <v>934</v>
      </c>
      <c r="J751" s="4" t="str">
        <f t="shared" si="22"/>
        <v>7202030000</v>
      </c>
      <c r="K751" s="1" t="s">
        <v>12</v>
      </c>
      <c r="L751" s="4" t="s">
        <v>855</v>
      </c>
      <c r="M751" s="8" t="s">
        <v>922</v>
      </c>
      <c r="N751" s="4" t="str">
        <f t="shared" si="23"/>
        <v>('1747','RPT_009', 'LabaTrialBalance3rdSegment', '7202030000 -  Beban bunga dari pinjaman bank dan LK non-bank - fasilitas jangka panjang - pihak berelasi', 'Beban (Pendapatan) non-usaha', 'Beban keuangan', '748', '26', 'AND ma.main_account_id IN (7202030000)', 'H', 'Beban bunga - kontraktual', 0, 0),</v>
      </c>
    </row>
    <row r="752" spans="1:14" ht="40.200000000000003" x14ac:dyDescent="0.3">
      <c r="A752" s="4">
        <v>1748</v>
      </c>
      <c r="B752" s="4" t="s">
        <v>177</v>
      </c>
      <c r="C752" s="4" t="s">
        <v>178</v>
      </c>
      <c r="D752" s="7" t="s">
        <v>809</v>
      </c>
      <c r="E752" s="4" t="s">
        <v>85</v>
      </c>
      <c r="F752" s="9" t="s">
        <v>88</v>
      </c>
      <c r="G752" s="4">
        <v>749</v>
      </c>
      <c r="H752" s="4">
        <v>27</v>
      </c>
      <c r="I752" s="4" t="s">
        <v>934</v>
      </c>
      <c r="J752" s="4" t="str">
        <f t="shared" si="22"/>
        <v>7202030001</v>
      </c>
      <c r="K752" s="1" t="s">
        <v>12</v>
      </c>
      <c r="L752" s="4" t="s">
        <v>855</v>
      </c>
      <c r="M752" s="8" t="s">
        <v>922</v>
      </c>
      <c r="N752" s="4" t="str">
        <f t="shared" si="23"/>
        <v>('1748','RPT_009', 'LabaTrialBalance3rdSegment', '7202030001 - Beban bunga dari pinjaman bank dan LK non-bank - fasilitas jangka panjang - Pihak berelasi', 'Beban (Pendapatan) non-usaha', 'Beban keuangan', '749', '27', 'AND ma.main_account_id IN (7202030001)', 'H', 'Beban bunga - kontraktual', 0, 0),</v>
      </c>
    </row>
    <row r="753" spans="1:14" ht="40.200000000000003" x14ac:dyDescent="0.3">
      <c r="A753" s="4">
        <v>1749</v>
      </c>
      <c r="B753" s="4" t="s">
        <v>177</v>
      </c>
      <c r="C753" s="4" t="s">
        <v>178</v>
      </c>
      <c r="D753" s="6" t="s">
        <v>810</v>
      </c>
      <c r="E753" s="4" t="s">
        <v>85</v>
      </c>
      <c r="F753" s="9" t="s">
        <v>88</v>
      </c>
      <c r="G753" s="4">
        <v>750</v>
      </c>
      <c r="H753" s="4">
        <v>28</v>
      </c>
      <c r="I753" s="4" t="s">
        <v>934</v>
      </c>
      <c r="J753" s="4" t="str">
        <f t="shared" si="22"/>
        <v>7202040000</v>
      </c>
      <c r="K753" s="1" t="s">
        <v>12</v>
      </c>
      <c r="L753" s="4" t="s">
        <v>855</v>
      </c>
      <c r="M753" s="8" t="s">
        <v>922</v>
      </c>
      <c r="N753" s="4" t="str">
        <f t="shared" si="23"/>
        <v>('1749','RPT_009', 'LabaTrialBalance3rdSegment', '7202040000 -  Beban bunga dari pinjaman bank dan LK non-bank - fasilitas jangka panjang - pihak ketiga', 'Beban (Pendapatan) non-usaha', 'Beban keuangan', '750', '28', 'AND ma.main_account_id IN (7202040000)', 'H', 'Beban bunga - kontraktual', 0, 0),</v>
      </c>
    </row>
    <row r="754" spans="1:14" ht="40.200000000000003" x14ac:dyDescent="0.3">
      <c r="A754" s="4">
        <v>1750</v>
      </c>
      <c r="B754" s="4" t="s">
        <v>177</v>
      </c>
      <c r="C754" s="4" t="s">
        <v>178</v>
      </c>
      <c r="D754" s="7" t="s">
        <v>811</v>
      </c>
      <c r="E754" s="4" t="s">
        <v>85</v>
      </c>
      <c r="F754" s="9" t="s">
        <v>88</v>
      </c>
      <c r="G754" s="4">
        <v>751</v>
      </c>
      <c r="H754" s="4">
        <v>29</v>
      </c>
      <c r="I754" s="4" t="s">
        <v>934</v>
      </c>
      <c r="J754" s="4" t="str">
        <f t="shared" si="22"/>
        <v>7202040001</v>
      </c>
      <c r="K754" s="1" t="s">
        <v>12</v>
      </c>
      <c r="L754" s="4" t="s">
        <v>855</v>
      </c>
      <c r="M754" s="8" t="s">
        <v>922</v>
      </c>
      <c r="N754" s="4" t="str">
        <f t="shared" si="23"/>
        <v>('1750','RPT_009', 'LabaTrialBalance3rdSegment', '7202040001 - Beban bunga dari pinjaman bank dan LK non-bank - fasilitas jangka panjang - Pihak ketiga', 'Beban (Pendapatan) non-usaha', 'Beban keuangan', '751', '29', 'AND ma.main_account_id IN (7202040001)', 'H', 'Beban bunga - kontraktual', 0, 0),</v>
      </c>
    </row>
    <row r="755" spans="1:14" ht="27" x14ac:dyDescent="0.3">
      <c r="A755" s="4">
        <v>1751</v>
      </c>
      <c r="B755" s="4" t="s">
        <v>177</v>
      </c>
      <c r="C755" s="4" t="s">
        <v>178</v>
      </c>
      <c r="D755" s="6" t="s">
        <v>812</v>
      </c>
      <c r="E755" s="4" t="s">
        <v>85</v>
      </c>
      <c r="F755" s="9" t="s">
        <v>88</v>
      </c>
      <c r="G755" s="4">
        <v>752</v>
      </c>
      <c r="H755" s="4">
        <v>30</v>
      </c>
      <c r="I755" s="4" t="s">
        <v>934</v>
      </c>
      <c r="J755" s="4" t="str">
        <f t="shared" si="22"/>
        <v>7202410000</v>
      </c>
      <c r="K755" s="1" t="s">
        <v>12</v>
      </c>
      <c r="L755" s="4" t="s">
        <v>855</v>
      </c>
      <c r="M755" s="8" t="s">
        <v>922</v>
      </c>
      <c r="N755" s="4" t="str">
        <f t="shared" si="23"/>
        <v>('1751','RPT_009', 'LabaTrialBalance3rdSegment', '7202410000 -  Beban bunga dari liabilitas sewa atas aset hak guna', 'Beban (Pendapatan) non-usaha', 'Beban keuangan', '752', '30', 'AND ma.main_account_id IN (7202410000)', 'H', 'Beban bunga - kontraktual', 0, 0),</v>
      </c>
    </row>
    <row r="756" spans="1:14" ht="27" x14ac:dyDescent="0.3">
      <c r="A756" s="4">
        <v>1752</v>
      </c>
      <c r="B756" s="4" t="s">
        <v>177</v>
      </c>
      <c r="C756" s="4" t="s">
        <v>178</v>
      </c>
      <c r="D756" s="7" t="s">
        <v>813</v>
      </c>
      <c r="E756" s="4" t="s">
        <v>85</v>
      </c>
      <c r="F756" s="9" t="s">
        <v>88</v>
      </c>
      <c r="G756" s="4">
        <v>753</v>
      </c>
      <c r="H756" s="4">
        <v>31</v>
      </c>
      <c r="I756" s="4" t="s">
        <v>934</v>
      </c>
      <c r="J756" s="4" t="str">
        <f t="shared" si="22"/>
        <v>7202410001</v>
      </c>
      <c r="K756" s="1" t="s">
        <v>12</v>
      </c>
      <c r="L756" s="4" t="s">
        <v>855</v>
      </c>
      <c r="M756" s="8" t="s">
        <v>922</v>
      </c>
      <c r="N756" s="4" t="str">
        <f t="shared" si="23"/>
        <v>('1752','RPT_009', 'LabaTrialBalance3rdSegment', '7202410001 - Beban bunga dari liabilitas sewa atas aset hak guna', 'Beban (Pendapatan) non-usaha', 'Beban keuangan', '753', '31', 'AND ma.main_account_id IN (7202410001)', 'H', 'Beban bunga - kontraktual', 0, 0),</v>
      </c>
    </row>
    <row r="757" spans="1:14" ht="40.200000000000003" x14ac:dyDescent="0.3">
      <c r="A757" s="4">
        <v>1753</v>
      </c>
      <c r="B757" s="4" t="s">
        <v>177</v>
      </c>
      <c r="C757" s="4" t="s">
        <v>178</v>
      </c>
      <c r="D757" s="6" t="s">
        <v>814</v>
      </c>
      <c r="E757" s="4" t="s">
        <v>85</v>
      </c>
      <c r="F757" s="9" t="s">
        <v>88</v>
      </c>
      <c r="G757" s="4">
        <v>754</v>
      </c>
      <c r="H757" s="4">
        <v>32</v>
      </c>
      <c r="I757" s="4" t="s">
        <v>934</v>
      </c>
      <c r="J757" s="4" t="str">
        <f t="shared" si="22"/>
        <v>7202510000</v>
      </c>
      <c r="K757" s="1" t="s">
        <v>12</v>
      </c>
      <c r="L757" s="4" t="s">
        <v>855</v>
      </c>
      <c r="M757" s="8" t="s">
        <v>922</v>
      </c>
      <c r="N757" s="4" t="str">
        <f t="shared" si="23"/>
        <v>('1753','RPT_009', 'LabaTrialBalance3rdSegment', '7202510000 -  Beban bunga dari pinjaman dari pihak berelasi intra group InJourney', 'Beban (Pendapatan) non-usaha', 'Beban keuangan', '754', '32', 'AND ma.main_account_id IN (7202510000)', 'H', 'Beban bunga - kontraktual', 0, 0),</v>
      </c>
    </row>
    <row r="758" spans="1:14" ht="40.200000000000003" x14ac:dyDescent="0.3">
      <c r="A758" s="4">
        <v>1754</v>
      </c>
      <c r="B758" s="4" t="s">
        <v>177</v>
      </c>
      <c r="C758" s="4" t="s">
        <v>178</v>
      </c>
      <c r="D758" s="7" t="s">
        <v>815</v>
      </c>
      <c r="E758" s="4" t="s">
        <v>85</v>
      </c>
      <c r="F758" s="9" t="s">
        <v>88</v>
      </c>
      <c r="G758" s="4">
        <v>755</v>
      </c>
      <c r="H758" s="4">
        <v>33</v>
      </c>
      <c r="I758" s="4" t="s">
        <v>934</v>
      </c>
      <c r="J758" s="4" t="str">
        <f t="shared" si="22"/>
        <v>7202510001</v>
      </c>
      <c r="K758" s="1" t="s">
        <v>12</v>
      </c>
      <c r="L758" s="4" t="s">
        <v>855</v>
      </c>
      <c r="M758" s="8" t="s">
        <v>922</v>
      </c>
      <c r="N758" s="4" t="str">
        <f t="shared" si="23"/>
        <v>('1754','RPT_009', 'LabaTrialBalance3rdSegment', '7202510001 - Beban bunga dari pinjaman dari Pihak Berelasi - Intragroup Injourney', 'Beban (Pendapatan) non-usaha', 'Beban keuangan', '755', '33', 'AND ma.main_account_id IN (7202510001)', 'H', 'Beban bunga - kontraktual', 0, 0),</v>
      </c>
    </row>
    <row r="759" spans="1:14" x14ac:dyDescent="0.3">
      <c r="A759" s="4">
        <v>1755</v>
      </c>
      <c r="B759" s="4" t="s">
        <v>177</v>
      </c>
      <c r="C759" s="4" t="s">
        <v>178</v>
      </c>
      <c r="D759" s="5" t="s">
        <v>90</v>
      </c>
      <c r="E759" s="4" t="s">
        <v>85</v>
      </c>
      <c r="F759" s="9" t="s">
        <v>88</v>
      </c>
      <c r="G759" s="4">
        <v>756</v>
      </c>
      <c r="H759" s="4">
        <v>34</v>
      </c>
      <c r="I759" s="4" t="s">
        <v>934</v>
      </c>
      <c r="J759" s="4" t="str">
        <f t="shared" si="22"/>
        <v>7299000000</v>
      </c>
      <c r="K759" s="1" t="s">
        <v>12</v>
      </c>
      <c r="L759" s="4" t="s">
        <v>855</v>
      </c>
      <c r="M759" s="8" t="s">
        <v>923</v>
      </c>
      <c r="N759" s="4" t="str">
        <f t="shared" si="23"/>
        <v>('1755','RPT_009', 'LabaTrialBalance3rdSegment', '7299000000 -  Lain-lain', 'Beban (Pendapatan) non-usaha', 'Beban keuangan', '756', '34', 'AND ma.main_account_id IN (7299000000)', 'H', 'Lain-lain', 0, 0),</v>
      </c>
    </row>
    <row r="760" spans="1:14" x14ac:dyDescent="0.3">
      <c r="A760" s="4">
        <v>1756</v>
      </c>
      <c r="B760" s="4" t="s">
        <v>177</v>
      </c>
      <c r="C760" s="4" t="s">
        <v>178</v>
      </c>
      <c r="D760" s="6" t="s">
        <v>816</v>
      </c>
      <c r="E760" s="4" t="s">
        <v>85</v>
      </c>
      <c r="F760" s="9" t="s">
        <v>88</v>
      </c>
      <c r="G760" s="4">
        <v>757</v>
      </c>
      <c r="H760" s="4">
        <v>35</v>
      </c>
      <c r="I760" s="4" t="s">
        <v>934</v>
      </c>
      <c r="J760" s="4" t="str">
        <f t="shared" si="22"/>
        <v>7299010000</v>
      </c>
      <c r="K760" s="1" t="s">
        <v>12</v>
      </c>
      <c r="L760" s="4" t="s">
        <v>855</v>
      </c>
      <c r="M760" s="8" t="s">
        <v>923</v>
      </c>
      <c r="N760" s="4" t="str">
        <f t="shared" si="23"/>
        <v>('1756','RPT_009', 'LabaTrialBalance3rdSegment', '7299010000 -  Beban administrasi bank', 'Beban (Pendapatan) non-usaha', 'Beban keuangan', '757', '35', 'AND ma.main_account_id IN (7299010000)', 'H', 'Lain-lain', 0, 0),</v>
      </c>
    </row>
    <row r="761" spans="1:14" x14ac:dyDescent="0.3">
      <c r="A761" s="4">
        <v>1757</v>
      </c>
      <c r="B761" s="4" t="s">
        <v>177</v>
      </c>
      <c r="C761" s="4" t="s">
        <v>178</v>
      </c>
      <c r="D761" s="7" t="s">
        <v>817</v>
      </c>
      <c r="E761" s="4" t="s">
        <v>85</v>
      </c>
      <c r="F761" s="9" t="s">
        <v>88</v>
      </c>
      <c r="G761" s="4">
        <v>758</v>
      </c>
      <c r="H761" s="4">
        <v>36</v>
      </c>
      <c r="I761" s="4" t="s">
        <v>934</v>
      </c>
      <c r="J761" s="4" t="str">
        <f t="shared" si="22"/>
        <v>7299010001</v>
      </c>
      <c r="K761" s="1" t="s">
        <v>12</v>
      </c>
      <c r="L761" s="4" t="s">
        <v>855</v>
      </c>
      <c r="M761" s="8" t="s">
        <v>923</v>
      </c>
      <c r="N761" s="4" t="str">
        <f t="shared" si="23"/>
        <v>('1757','RPT_009', 'LabaTrialBalance3rdSegment', '7299010001 - Beban administrasi bank', 'Beban (Pendapatan) non-usaha', 'Beban keuangan', '758', '36', 'AND ma.main_account_id IN (7299010001)', 'H', 'Lain-lain', 0, 0),</v>
      </c>
    </row>
    <row r="762" spans="1:14" x14ac:dyDescent="0.3">
      <c r="A762" s="4">
        <v>1758</v>
      </c>
      <c r="B762" s="4" t="s">
        <v>177</v>
      </c>
      <c r="C762" s="4" t="s">
        <v>178</v>
      </c>
      <c r="D762" s="6" t="s">
        <v>818</v>
      </c>
      <c r="E762" s="4" t="s">
        <v>85</v>
      </c>
      <c r="F762" s="9" t="s">
        <v>88</v>
      </c>
      <c r="G762" s="4">
        <v>759</v>
      </c>
      <c r="H762" s="4">
        <v>37</v>
      </c>
      <c r="I762" s="4" t="s">
        <v>934</v>
      </c>
      <c r="J762" s="4" t="str">
        <f t="shared" si="22"/>
        <v>7299040000</v>
      </c>
      <c r="K762" s="1" t="s">
        <v>12</v>
      </c>
      <c r="L762" s="4" t="s">
        <v>855</v>
      </c>
      <c r="M762" s="8" t="s">
        <v>923</v>
      </c>
      <c r="N762" s="4" t="str">
        <f t="shared" si="23"/>
        <v>('1758','RPT_009', 'LabaTrialBalance3rdSegment', '7299040000 -  Beban pendanaan', 'Beban (Pendapatan) non-usaha', 'Beban keuangan', '759', '37', 'AND ma.main_account_id IN (7299040000)', 'H', 'Lain-lain', 0, 0),</v>
      </c>
    </row>
    <row r="763" spans="1:14" ht="27" x14ac:dyDescent="0.3">
      <c r="A763" s="4">
        <v>1759</v>
      </c>
      <c r="B763" s="4" t="s">
        <v>177</v>
      </c>
      <c r="C763" s="4" t="s">
        <v>178</v>
      </c>
      <c r="D763" s="7" t="s">
        <v>819</v>
      </c>
      <c r="E763" s="4" t="s">
        <v>85</v>
      </c>
      <c r="F763" s="9" t="s">
        <v>88</v>
      </c>
      <c r="G763" s="4">
        <v>760</v>
      </c>
      <c r="H763" s="4">
        <v>38</v>
      </c>
      <c r="I763" s="4" t="s">
        <v>934</v>
      </c>
      <c r="J763" s="4" t="str">
        <f t="shared" si="22"/>
        <v>7299040001</v>
      </c>
      <c r="K763" s="1" t="s">
        <v>12</v>
      </c>
      <c r="L763" s="4" t="s">
        <v>855</v>
      </c>
      <c r="M763" s="8" t="s">
        <v>923</v>
      </c>
      <c r="N763" s="4" t="str">
        <f t="shared" si="23"/>
        <v>('1759','RPT_009', 'LabaTrialBalance3rdSegment', '7299040001 - Beban pengurusan pendanaan', 'Beban (Pendapatan) non-usaha', 'Beban keuangan', '760', '38', 'AND ma.main_account_id IN (7299040001)', 'H', 'Lain-lain', 0, 0),</v>
      </c>
    </row>
    <row r="764" spans="1:14" x14ac:dyDescent="0.3">
      <c r="A764" s="4">
        <v>1760</v>
      </c>
      <c r="B764" s="4" t="s">
        <v>177</v>
      </c>
      <c r="C764" s="4" t="s">
        <v>178</v>
      </c>
      <c r="D764" s="3" t="s">
        <v>91</v>
      </c>
      <c r="E764" s="4" t="s">
        <v>85</v>
      </c>
      <c r="F764" s="9" t="s">
        <v>93</v>
      </c>
      <c r="G764" s="4">
        <v>761</v>
      </c>
      <c r="H764" s="4">
        <v>39</v>
      </c>
      <c r="I764" s="4" t="s">
        <v>934</v>
      </c>
      <c r="J764" s="4" t="str">
        <f t="shared" si="22"/>
        <v>7500000000</v>
      </c>
      <c r="K764" s="1" t="s">
        <v>12</v>
      </c>
      <c r="L764" s="4" t="s">
        <v>855</v>
      </c>
      <c r="M764" s="10" t="s">
        <v>93</v>
      </c>
      <c r="N764" s="4" t="str">
        <f t="shared" si="23"/>
        <v>('1760','RPT_009', 'LabaTrialBalance3rdSegment', '7500000000 - Pajak final', 'Beban (Pendapatan) non-usaha', 'Pajak final', '761', '39', 'AND ma.main_account_id IN (7500000000)', 'H', 'Pajak final', 0, 0),</v>
      </c>
    </row>
    <row r="765" spans="1:14" x14ac:dyDescent="0.3">
      <c r="A765" s="4">
        <v>1761</v>
      </c>
      <c r="B765" s="4" t="s">
        <v>177</v>
      </c>
      <c r="C765" s="4" t="s">
        <v>178</v>
      </c>
      <c r="D765" s="5" t="s">
        <v>92</v>
      </c>
      <c r="E765" s="4" t="s">
        <v>85</v>
      </c>
      <c r="F765" s="9" t="s">
        <v>93</v>
      </c>
      <c r="G765" s="4">
        <v>762</v>
      </c>
      <c r="H765" s="4">
        <v>40</v>
      </c>
      <c r="I765" s="4" t="s">
        <v>934</v>
      </c>
      <c r="J765" s="4" t="str">
        <f t="shared" si="22"/>
        <v>7501000000</v>
      </c>
      <c r="K765" s="1" t="s">
        <v>12</v>
      </c>
      <c r="L765" s="4" t="s">
        <v>855</v>
      </c>
      <c r="M765" s="8" t="s">
        <v>924</v>
      </c>
      <c r="N765" s="4" t="str">
        <f t="shared" si="23"/>
        <v>('1761','RPT_009', 'LabaTrialBalance3rdSegment', '7501000000 -  Pajak final', 'Beban (Pendapatan) non-usaha', 'Pajak final', '762', '40', 'AND ma.main_account_id IN (7501000000)', 'H', ' Pajak final', 0, 0),</v>
      </c>
    </row>
    <row r="766" spans="1:14" x14ac:dyDescent="0.3">
      <c r="A766" s="4">
        <v>1762</v>
      </c>
      <c r="B766" s="4" t="s">
        <v>177</v>
      </c>
      <c r="C766" s="4" t="s">
        <v>178</v>
      </c>
      <c r="D766" s="6" t="s">
        <v>820</v>
      </c>
      <c r="E766" s="4" t="s">
        <v>85</v>
      </c>
      <c r="F766" s="9" t="s">
        <v>93</v>
      </c>
      <c r="G766" s="4">
        <v>763</v>
      </c>
      <c r="H766" s="4">
        <v>41</v>
      </c>
      <c r="I766" s="4" t="s">
        <v>934</v>
      </c>
      <c r="J766" s="4" t="str">
        <f t="shared" si="22"/>
        <v>7501010000</v>
      </c>
      <c r="K766" s="1" t="s">
        <v>12</v>
      </c>
      <c r="L766" s="4" t="s">
        <v>855</v>
      </c>
      <c r="M766" s="8" t="s">
        <v>924</v>
      </c>
      <c r="N766" s="4" t="str">
        <f t="shared" si="23"/>
        <v>('1762','RPT_009', 'LabaTrialBalance3rdSegment', '7501010000 -  PPh pasal 4(2)', 'Beban (Pendapatan) non-usaha', 'Pajak final', '763', '41', 'AND ma.main_account_id IN (7501010000)', 'H', ' Pajak final', 0, 0),</v>
      </c>
    </row>
    <row r="767" spans="1:14" x14ac:dyDescent="0.3">
      <c r="A767" s="4">
        <v>1763</v>
      </c>
      <c r="B767" s="4" t="s">
        <v>177</v>
      </c>
      <c r="C767" s="4" t="s">
        <v>178</v>
      </c>
      <c r="D767" s="7" t="s">
        <v>821</v>
      </c>
      <c r="E767" s="4" t="s">
        <v>85</v>
      </c>
      <c r="F767" s="9" t="s">
        <v>93</v>
      </c>
      <c r="G767" s="4">
        <v>764</v>
      </c>
      <c r="H767" s="4">
        <v>42</v>
      </c>
      <c r="I767" s="4" t="s">
        <v>934</v>
      </c>
      <c r="J767" s="4" t="str">
        <f t="shared" si="22"/>
        <v>7501010001</v>
      </c>
      <c r="K767" s="1" t="s">
        <v>12</v>
      </c>
      <c r="L767" s="4" t="s">
        <v>855</v>
      </c>
      <c r="M767" s="8" t="s">
        <v>924</v>
      </c>
      <c r="N767" s="4" t="str">
        <f t="shared" si="23"/>
        <v>('1763','RPT_009', 'LabaTrialBalance3rdSegment', '7501010001 - Beban PPh Pasal 4 ayat 2', 'Beban (Pendapatan) non-usaha', 'Pajak final', '764', '42', 'AND ma.main_account_id IN (7501010001)', 'H', ' Pajak final', 0, 0),</v>
      </c>
    </row>
    <row r="768" spans="1:14" x14ac:dyDescent="0.3">
      <c r="A768" s="4">
        <v>1764</v>
      </c>
      <c r="B768" s="4" t="s">
        <v>177</v>
      </c>
      <c r="C768" s="4" t="s">
        <v>178</v>
      </c>
      <c r="D768" s="3" t="s">
        <v>94</v>
      </c>
      <c r="E768" s="4" t="s">
        <v>85</v>
      </c>
      <c r="F768" s="9" t="s">
        <v>97</v>
      </c>
      <c r="G768" s="4">
        <v>765</v>
      </c>
      <c r="H768" s="4">
        <v>43</v>
      </c>
      <c r="I768" s="4" t="s">
        <v>934</v>
      </c>
      <c r="J768" s="4" t="str">
        <f t="shared" si="22"/>
        <v>7600000000</v>
      </c>
      <c r="K768" s="1" t="s">
        <v>12</v>
      </c>
      <c r="L768" s="4" t="s">
        <v>855</v>
      </c>
      <c r="M768" s="8" t="s">
        <v>924</v>
      </c>
      <c r="N768" s="4" t="str">
        <f t="shared" si="23"/>
        <v>('1764','RPT_009', 'LabaTrialBalance3rdSegment', '7600000000 - Beban pajak penghasilan', 'Beban (Pendapatan) non-usaha', 'Beban pajak penghasilan', '765', '43', 'AND ma.main_account_id IN (7600000000)', 'H', ' Pajak final', 0, 0),</v>
      </c>
    </row>
    <row r="769" spans="1:14" x14ac:dyDescent="0.3">
      <c r="A769" s="4">
        <v>1765</v>
      </c>
      <c r="B769" s="4" t="s">
        <v>177</v>
      </c>
      <c r="C769" s="4" t="s">
        <v>178</v>
      </c>
      <c r="D769" s="5" t="s">
        <v>95</v>
      </c>
      <c r="E769" s="4" t="s">
        <v>85</v>
      </c>
      <c r="F769" s="9" t="s">
        <v>97</v>
      </c>
      <c r="G769" s="4">
        <v>766</v>
      </c>
      <c r="H769" s="4">
        <v>44</v>
      </c>
      <c r="I769" s="4" t="s">
        <v>934</v>
      </c>
      <c r="J769" s="4" t="str">
        <f t="shared" si="22"/>
        <v>7601000000</v>
      </c>
      <c r="K769" s="1" t="s">
        <v>12</v>
      </c>
      <c r="L769" s="4" t="s">
        <v>855</v>
      </c>
      <c r="M769" s="8" t="s">
        <v>925</v>
      </c>
      <c r="N769" s="4" t="str">
        <f t="shared" si="23"/>
        <v>('1765','RPT_009', 'LabaTrialBalance3rdSegment', '7601000000 -  Pajak kini', 'Beban (Pendapatan) non-usaha', 'Beban pajak penghasilan', '766', '44', 'AND ma.main_account_id IN (7601000000)', 'H', 'Pajak kini', 0, 0),</v>
      </c>
    </row>
    <row r="770" spans="1:14" x14ac:dyDescent="0.3">
      <c r="A770" s="4">
        <v>1766</v>
      </c>
      <c r="B770" s="4" t="s">
        <v>177</v>
      </c>
      <c r="C770" s="4" t="s">
        <v>178</v>
      </c>
      <c r="D770" s="6" t="s">
        <v>822</v>
      </c>
      <c r="E770" s="4" t="s">
        <v>85</v>
      </c>
      <c r="F770" s="9" t="s">
        <v>97</v>
      </c>
      <c r="G770" s="4">
        <v>767</v>
      </c>
      <c r="H770" s="4">
        <v>45</v>
      </c>
      <c r="I770" s="4" t="s">
        <v>934</v>
      </c>
      <c r="J770" s="4" t="str">
        <f t="shared" si="22"/>
        <v>7601010000</v>
      </c>
      <c r="K770" s="1" t="s">
        <v>12</v>
      </c>
      <c r="L770" s="4" t="s">
        <v>855</v>
      </c>
      <c r="M770" s="8" t="s">
        <v>925</v>
      </c>
      <c r="N770" s="4" t="str">
        <f t="shared" si="23"/>
        <v>('1766','RPT_009', 'LabaTrialBalance3rdSegment', '7601010000 -  Pajak kini', 'Beban (Pendapatan) non-usaha', 'Beban pajak penghasilan', '767', '45', 'AND ma.main_account_id IN (7601010000)', 'H', 'Pajak kini', 0, 0),</v>
      </c>
    </row>
    <row r="771" spans="1:14" x14ac:dyDescent="0.3">
      <c r="A771" s="4">
        <v>1767</v>
      </c>
      <c r="B771" s="4" t="s">
        <v>177</v>
      </c>
      <c r="C771" s="4" t="s">
        <v>178</v>
      </c>
      <c r="D771" s="7" t="s">
        <v>823</v>
      </c>
      <c r="E771" s="4" t="s">
        <v>85</v>
      </c>
      <c r="F771" s="9" t="s">
        <v>97</v>
      </c>
      <c r="G771" s="4">
        <v>768</v>
      </c>
      <c r="H771" s="4">
        <v>46</v>
      </c>
      <c r="I771" s="4" t="s">
        <v>934</v>
      </c>
      <c r="J771" s="4" t="str">
        <f t="shared" si="22"/>
        <v>7601010001</v>
      </c>
      <c r="K771" s="1" t="s">
        <v>12</v>
      </c>
      <c r="L771" s="4" t="s">
        <v>855</v>
      </c>
      <c r="M771" s="8" t="s">
        <v>925</v>
      </c>
      <c r="N771" s="4" t="str">
        <f t="shared" si="23"/>
        <v>('1767','RPT_009', 'LabaTrialBalance3rdSegment', '7601010001 - Pajak kini', 'Beban (Pendapatan) non-usaha', 'Beban pajak penghasilan', '768', '46', 'AND ma.main_account_id IN (7601010001)', 'H', 'Pajak kini', 0, 0),</v>
      </c>
    </row>
    <row r="772" spans="1:14" x14ac:dyDescent="0.3">
      <c r="A772" s="4">
        <v>1768</v>
      </c>
      <c r="B772" s="4" t="s">
        <v>177</v>
      </c>
      <c r="C772" s="4" t="s">
        <v>178</v>
      </c>
      <c r="D772" s="5" t="s">
        <v>96</v>
      </c>
      <c r="E772" s="4" t="s">
        <v>85</v>
      </c>
      <c r="F772" s="9" t="s">
        <v>97</v>
      </c>
      <c r="G772" s="4">
        <v>769</v>
      </c>
      <c r="H772" s="4">
        <v>47</v>
      </c>
      <c r="I772" s="4" t="s">
        <v>934</v>
      </c>
      <c r="J772" s="4" t="str">
        <f t="shared" ref="J772:J798" si="24">_xlfn.TEXTBEFORE(D772," -")</f>
        <v>7602000000</v>
      </c>
      <c r="K772" s="1" t="s">
        <v>12</v>
      </c>
      <c r="L772" s="4" t="s">
        <v>855</v>
      </c>
      <c r="M772" s="8" t="s">
        <v>926</v>
      </c>
      <c r="N772" s="4" t="str">
        <f t="shared" si="23"/>
        <v>('1768','RPT_009', 'LabaTrialBalance3rdSegment', '7602000000 -  Pajak tangguhan', 'Beban (Pendapatan) non-usaha', 'Beban pajak penghasilan', '769', '47', 'AND ma.main_account_id IN (7602000000)', 'H', ' Pajak tangguhan', 0, 0),</v>
      </c>
    </row>
    <row r="773" spans="1:14" x14ac:dyDescent="0.3">
      <c r="A773" s="4">
        <v>1769</v>
      </c>
      <c r="B773" s="4" t="s">
        <v>177</v>
      </c>
      <c r="C773" s="4" t="s">
        <v>178</v>
      </c>
      <c r="D773" s="6" t="s">
        <v>824</v>
      </c>
      <c r="E773" s="4" t="s">
        <v>85</v>
      </c>
      <c r="F773" s="9" t="s">
        <v>97</v>
      </c>
      <c r="G773" s="4">
        <v>770</v>
      </c>
      <c r="H773" s="4">
        <v>48</v>
      </c>
      <c r="I773" s="4" t="s">
        <v>934</v>
      </c>
      <c r="J773" s="4" t="str">
        <f t="shared" si="24"/>
        <v>7602010000</v>
      </c>
      <c r="K773" s="1" t="s">
        <v>12</v>
      </c>
      <c r="L773" s="4" t="s">
        <v>855</v>
      </c>
      <c r="M773" s="8" t="s">
        <v>926</v>
      </c>
      <c r="N773" s="4" t="str">
        <f t="shared" ref="N773:N798" si="25">"('"&amp;A773&amp;"','"&amp;B773&amp;"', '"&amp;C773&amp;"', '"&amp;D773&amp;"', '"&amp;E773&amp;"', '"&amp;F773&amp;"', '"&amp;G773&amp;"', '"&amp;H773&amp;"', '"&amp;I773&amp;J773&amp;K773&amp;"', '"&amp;L773&amp;"', '"&amp;M773&amp;"', 0, 0),"</f>
        <v>('1769','RPT_009', 'LabaTrialBalance3rdSegment', '7602010000 -  Pajak tangguhan', 'Beban (Pendapatan) non-usaha', 'Beban pajak penghasilan', '770', '48', 'AND ma.main_account_id IN (7602010000)', 'H', ' Pajak tangguhan', 0, 0),</v>
      </c>
    </row>
    <row r="774" spans="1:14" x14ac:dyDescent="0.3">
      <c r="A774" s="4">
        <v>1770</v>
      </c>
      <c r="B774" s="4" t="s">
        <v>177</v>
      </c>
      <c r="C774" s="4" t="s">
        <v>178</v>
      </c>
      <c r="D774" s="7" t="s">
        <v>825</v>
      </c>
      <c r="E774" s="4" t="s">
        <v>85</v>
      </c>
      <c r="F774" s="9" t="s">
        <v>97</v>
      </c>
      <c r="G774" s="4">
        <v>771</v>
      </c>
      <c r="H774" s="4">
        <v>49</v>
      </c>
      <c r="I774" s="4" t="s">
        <v>934</v>
      </c>
      <c r="J774" s="4" t="str">
        <f t="shared" si="24"/>
        <v>7602010001</v>
      </c>
      <c r="K774" s="1" t="s">
        <v>12</v>
      </c>
      <c r="L774" s="4" t="s">
        <v>855</v>
      </c>
      <c r="M774" s="8" t="s">
        <v>926</v>
      </c>
      <c r="N774" s="4" t="str">
        <f t="shared" si="25"/>
        <v>('1770','RPT_009', 'LabaTrialBalance3rdSegment', '7602010001 - Pajak tangguhan', 'Beban (Pendapatan) non-usaha', 'Beban pajak penghasilan', '771', '49', 'AND ma.main_account_id IN (7602010001)', 'H', ' Pajak tangguhan', 0, 0),</v>
      </c>
    </row>
    <row r="775" spans="1:14" ht="26.4" x14ac:dyDescent="0.3">
      <c r="A775" s="4">
        <v>1771</v>
      </c>
      <c r="B775" s="4" t="s">
        <v>177</v>
      </c>
      <c r="C775" s="4" t="s">
        <v>178</v>
      </c>
      <c r="D775" s="2" t="s">
        <v>98</v>
      </c>
      <c r="E775" s="4" t="s">
        <v>99</v>
      </c>
      <c r="F775" s="9" t="s">
        <v>99</v>
      </c>
      <c r="G775" s="4">
        <v>772</v>
      </c>
      <c r="H775" s="4">
        <v>1</v>
      </c>
      <c r="I775" s="4" t="s">
        <v>934</v>
      </c>
      <c r="J775" s="4" t="str">
        <f t="shared" si="24"/>
        <v>8000000000</v>
      </c>
      <c r="K775" s="1" t="s">
        <v>12</v>
      </c>
      <c r="L775" s="4" t="s">
        <v>856</v>
      </c>
      <c r="M775" s="10" t="s">
        <v>99</v>
      </c>
      <c r="N775" s="4" t="str">
        <f t="shared" si="25"/>
        <v>('1771','RPT_009', 'LabaTrialBalance3rdSegment', '8000000000 - Other Comprehensive Income (OCI)', 'Other Comprehensive Income (OCI)', 'Other Comprehensive Income (OCI)', '772', '1', 'AND ma.main_account_id IN (8000000000)', 'I', 'Other Comprehensive Income (OCI)', 0, 0),</v>
      </c>
    </row>
    <row r="776" spans="1:14" ht="27" x14ac:dyDescent="0.3">
      <c r="A776" s="4">
        <v>1772</v>
      </c>
      <c r="B776" s="4" t="s">
        <v>177</v>
      </c>
      <c r="C776" s="4" t="s">
        <v>178</v>
      </c>
      <c r="D776" s="3" t="s">
        <v>100</v>
      </c>
      <c r="E776" s="4" t="s">
        <v>99</v>
      </c>
      <c r="F776" s="9" t="s">
        <v>104</v>
      </c>
      <c r="G776" s="4">
        <v>773</v>
      </c>
      <c r="H776" s="4">
        <v>2</v>
      </c>
      <c r="I776" s="4" t="s">
        <v>934</v>
      </c>
      <c r="J776" s="4" t="str">
        <f t="shared" si="24"/>
        <v>8100000000</v>
      </c>
      <c r="K776" s="1" t="s">
        <v>12</v>
      </c>
      <c r="L776" s="4" t="s">
        <v>856</v>
      </c>
      <c r="M776" s="8" t="s">
        <v>104</v>
      </c>
      <c r="N776" s="4" t="str">
        <f t="shared" si="25"/>
        <v>('1772','RPT_009', 'LabaTrialBalance3rdSegment', '8100000000 - OCI: Pos yang tidak akan direklasifikasi ke Laba Rugi', 'Other Comprehensive Income (OCI)', 'OCI: Pos yang tidak akan direklasifikasi ke Laba Rugi', '773', '2', 'AND ma.main_account_id IN (8100000000)', 'I', 'OCI: Pos yang tidak akan direklasifikasi ke Laba Rugi', 0, 0),</v>
      </c>
    </row>
    <row r="777" spans="1:14" ht="62.4" x14ac:dyDescent="0.3">
      <c r="A777" s="4">
        <v>1773</v>
      </c>
      <c r="B777" s="4" t="s">
        <v>177</v>
      </c>
      <c r="C777" s="4" t="s">
        <v>178</v>
      </c>
      <c r="D777" s="5" t="s">
        <v>101</v>
      </c>
      <c r="E777" s="4" t="s">
        <v>99</v>
      </c>
      <c r="F777" s="9" t="s">
        <v>104</v>
      </c>
      <c r="G777" s="4">
        <v>774</v>
      </c>
      <c r="H777" s="4">
        <v>3</v>
      </c>
      <c r="I777" s="4" t="s">
        <v>934</v>
      </c>
      <c r="J777" s="4" t="str">
        <f t="shared" si="24"/>
        <v>8101000000</v>
      </c>
      <c r="K777" s="1" t="s">
        <v>12</v>
      </c>
      <c r="L777" s="4" t="s">
        <v>856</v>
      </c>
      <c r="M777" s="8" t="s">
        <v>927</v>
      </c>
      <c r="N777" s="4" t="str">
        <f t="shared" si="25"/>
        <v>('1773','RPT_009', 'LabaTrialBalance3rdSegment', '8101000000 -  Pengukuran kembali kewajiban imbalan pascakerja, setelah dampak pajak', 'Other Comprehensive Income (OCI)', 'OCI: Pos yang tidak akan direklasifikasi ke Laba Rugi', '774', '3', 'AND ma.main_account_id IN (8101000000)', 'I', 'Pengukuran kembali kewajiban imbalan pascakerja, setelah dampak pajak', 0, 0),</v>
      </c>
    </row>
    <row r="778" spans="1:14" ht="62.4" x14ac:dyDescent="0.3">
      <c r="A778" s="4">
        <v>1774</v>
      </c>
      <c r="B778" s="4" t="s">
        <v>177</v>
      </c>
      <c r="C778" s="4" t="s">
        <v>178</v>
      </c>
      <c r="D778" s="6" t="s">
        <v>826</v>
      </c>
      <c r="E778" s="4" t="s">
        <v>99</v>
      </c>
      <c r="F778" s="9" t="s">
        <v>104</v>
      </c>
      <c r="G778" s="4">
        <v>775</v>
      </c>
      <c r="H778" s="4">
        <v>4</v>
      </c>
      <c r="I778" s="4" t="s">
        <v>934</v>
      </c>
      <c r="J778" s="4" t="str">
        <f t="shared" si="24"/>
        <v>8101010000</v>
      </c>
      <c r="K778" s="1" t="s">
        <v>12</v>
      </c>
      <c r="L778" s="4" t="s">
        <v>856</v>
      </c>
      <c r="M778" s="8" t="s">
        <v>927</v>
      </c>
      <c r="N778" s="4" t="str">
        <f t="shared" si="25"/>
        <v>('1774','RPT_009', 'LabaTrialBalance3rdSegment', '8101010000 -  Pengukuran kembali kewajiban imbalan pascakerja, setelah dampak pajak', 'Other Comprehensive Income (OCI)', 'OCI: Pos yang tidak akan direklasifikasi ke Laba Rugi', '775', '4', 'AND ma.main_account_id IN (8101010000)', 'I', 'Pengukuran kembali kewajiban imbalan pascakerja, setelah dampak pajak', 0, 0),</v>
      </c>
    </row>
    <row r="779" spans="1:14" ht="62.4" x14ac:dyDescent="0.3">
      <c r="A779" s="4">
        <v>1775</v>
      </c>
      <c r="B779" s="4" t="s">
        <v>177</v>
      </c>
      <c r="C779" s="4" t="s">
        <v>178</v>
      </c>
      <c r="D779" s="7" t="s">
        <v>827</v>
      </c>
      <c r="E779" s="4" t="s">
        <v>99</v>
      </c>
      <c r="F779" s="9" t="s">
        <v>104</v>
      </c>
      <c r="G779" s="4">
        <v>776</v>
      </c>
      <c r="H779" s="4">
        <v>5</v>
      </c>
      <c r="I779" s="4" t="s">
        <v>934</v>
      </c>
      <c r="J779" s="4" t="str">
        <f t="shared" si="24"/>
        <v>8101010001</v>
      </c>
      <c r="K779" s="1" t="s">
        <v>12</v>
      </c>
      <c r="L779" s="4" t="s">
        <v>856</v>
      </c>
      <c r="M779" s="8" t="s">
        <v>927</v>
      </c>
      <c r="N779" s="4" t="str">
        <f t="shared" si="25"/>
        <v>('1775','RPT_009', 'LabaTrialBalance3rdSegment', '8101010001 - Pengukuran kembali kewajiban imbalan pascakerja, setelah dampak pajak', 'Other Comprehensive Income (OCI)', 'OCI: Pos yang tidak akan direklasifikasi ke Laba Rugi', '776', '5', 'AND ma.main_account_id IN (8101010001)', 'I', 'Pengukuran kembali kewajiban imbalan pascakerja, setelah dampak pajak', 0, 0),</v>
      </c>
    </row>
    <row r="780" spans="1:14" ht="78" x14ac:dyDescent="0.3">
      <c r="A780" s="4">
        <v>1776</v>
      </c>
      <c r="B780" s="4" t="s">
        <v>177</v>
      </c>
      <c r="C780" s="4" t="s">
        <v>178</v>
      </c>
      <c r="D780" s="5" t="s">
        <v>102</v>
      </c>
      <c r="E780" s="4" t="s">
        <v>99</v>
      </c>
      <c r="F780" s="9" t="s">
        <v>104</v>
      </c>
      <c r="G780" s="4">
        <v>777</v>
      </c>
      <c r="H780" s="4">
        <v>6</v>
      </c>
      <c r="I780" s="4" t="s">
        <v>934</v>
      </c>
      <c r="J780" s="4" t="str">
        <f t="shared" si="24"/>
        <v>8102000000</v>
      </c>
      <c r="K780" s="1" t="s">
        <v>12</v>
      </c>
      <c r="L780" s="4" t="s">
        <v>856</v>
      </c>
      <c r="M780" s="8" t="s">
        <v>928</v>
      </c>
      <c r="N780" s="4" t="str">
        <f t="shared" si="25"/>
        <v>('1776','RPT_009', 'LabaTrialBalance3rdSegment', '8102000000 -  Perubahan nilai wajar aset keuangan pada nilai wajar melalui penghasilan komprehensif lain, setelah dampak pajak', 'Other Comprehensive Income (OCI)', 'OCI: Pos yang tidak akan direklasifikasi ke Laba Rugi', '777', '6', 'AND ma.main_account_id IN (8102000000)', 'I', 'Perubahan nilai wajar aset keuangan pada nilai wajar melalui penghasilan komprehensif lain, setelah dampak pajak', 0, 0),</v>
      </c>
    </row>
    <row r="781" spans="1:14" ht="78" x14ac:dyDescent="0.3">
      <c r="A781" s="4">
        <v>1777</v>
      </c>
      <c r="B781" s="4" t="s">
        <v>177</v>
      </c>
      <c r="C781" s="4" t="s">
        <v>178</v>
      </c>
      <c r="D781" s="6" t="s">
        <v>828</v>
      </c>
      <c r="E781" s="4" t="s">
        <v>99</v>
      </c>
      <c r="F781" s="9" t="s">
        <v>104</v>
      </c>
      <c r="G781" s="4">
        <v>778</v>
      </c>
      <c r="H781" s="4">
        <v>7</v>
      </c>
      <c r="I781" s="4" t="s">
        <v>934</v>
      </c>
      <c r="J781" s="4" t="str">
        <f t="shared" si="24"/>
        <v>8102010000</v>
      </c>
      <c r="K781" s="1" t="s">
        <v>12</v>
      </c>
      <c r="L781" s="4" t="s">
        <v>856</v>
      </c>
      <c r="M781" s="8" t="s">
        <v>928</v>
      </c>
      <c r="N781" s="4" t="str">
        <f t="shared" si="25"/>
        <v>('1777','RPT_009', 'LabaTrialBalance3rdSegment', '8102010000 -  Perubahan nilai wajar aset keuangan pada nilai wajar melalui penghasilan komprehensif lain, setelah dampak pajak', 'Other Comprehensive Income (OCI)', 'OCI: Pos yang tidak akan direklasifikasi ke Laba Rugi', '778', '7', 'AND ma.main_account_id IN (8102010000)', 'I', 'Perubahan nilai wajar aset keuangan pada nilai wajar melalui penghasilan komprehensif lain, setelah dampak pajak', 0, 0),</v>
      </c>
    </row>
    <row r="782" spans="1:14" ht="78" x14ac:dyDescent="0.3">
      <c r="A782" s="4">
        <v>1778</v>
      </c>
      <c r="B782" s="4" t="s">
        <v>177</v>
      </c>
      <c r="C782" s="4" t="s">
        <v>178</v>
      </c>
      <c r="D782" s="7" t="s">
        <v>829</v>
      </c>
      <c r="E782" s="4" t="s">
        <v>99</v>
      </c>
      <c r="F782" s="9" t="s">
        <v>104</v>
      </c>
      <c r="G782" s="4">
        <v>779</v>
      </c>
      <c r="H782" s="4">
        <v>8</v>
      </c>
      <c r="I782" s="4" t="s">
        <v>934</v>
      </c>
      <c r="J782" s="4" t="str">
        <f t="shared" si="24"/>
        <v>8102010001</v>
      </c>
      <c r="K782" s="1" t="s">
        <v>12</v>
      </c>
      <c r="L782" s="4" t="s">
        <v>856</v>
      </c>
      <c r="M782" s="8" t="s">
        <v>928</v>
      </c>
      <c r="N782" s="4" t="str">
        <f t="shared" si="25"/>
        <v>('1778','RPT_009', 'LabaTrialBalance3rdSegment', '8102010001 - Perubahan nilai wajar aset keuangan pada nilai wajar melalui penghasilan komprehensif lain, setelah dampak pajak', 'Other Comprehensive Income (OCI)', 'OCI: Pos yang tidak akan direklasifikasi ke Laba Rugi', '779', '8', 'AND ma.main_account_id IN (8102010001)', 'I', 'Perubahan nilai wajar aset keuangan pada nilai wajar melalui penghasilan komprehensif lain, setelah dampak pajak', 0, 0),</v>
      </c>
    </row>
    <row r="783" spans="1:14" ht="93.6" x14ac:dyDescent="0.3">
      <c r="A783" s="4">
        <v>1779</v>
      </c>
      <c r="B783" s="4" t="s">
        <v>177</v>
      </c>
      <c r="C783" s="4" t="s">
        <v>178</v>
      </c>
      <c r="D783" s="5" t="s">
        <v>103</v>
      </c>
      <c r="E783" s="4" t="s">
        <v>99</v>
      </c>
      <c r="F783" s="9" t="s">
        <v>104</v>
      </c>
      <c r="G783" s="4">
        <v>780</v>
      </c>
      <c r="H783" s="4">
        <v>9</v>
      </c>
      <c r="I783" s="4" t="s">
        <v>934</v>
      </c>
      <c r="J783" s="4" t="str">
        <f t="shared" si="24"/>
        <v>8103000000</v>
      </c>
      <c r="K783" s="1" t="s">
        <v>12</v>
      </c>
      <c r="L783" s="4" t="s">
        <v>856</v>
      </c>
      <c r="M783" s="8" t="s">
        <v>929</v>
      </c>
      <c r="N783" s="4" t="str">
        <f t="shared" si="25"/>
        <v>('1779','RPT_009', 'LabaTrialBalance3rdSegment', '8103000000 -  Bagian rugi (penghasilan) komprehensif lain dari investasi pada entitas asosiasi dan ventura bersama, setelah dampak pajak', 'Other Comprehensive Income (OCI)', 'OCI: Pos yang tidak akan direklasifikasi ke Laba Rugi', '780', '9', 'AND ma.main_account_id IN (8103000000)', 'I', 'Bagian rugi (penghasilan) komprehensif lain dari investasi pada entitas asosiasi dan ventura bersama, setelah dampak pajak', 0, 0),</v>
      </c>
    </row>
    <row r="784" spans="1:14" ht="93.6" x14ac:dyDescent="0.3">
      <c r="A784" s="4">
        <v>1780</v>
      </c>
      <c r="B784" s="4" t="s">
        <v>177</v>
      </c>
      <c r="C784" s="4" t="s">
        <v>178</v>
      </c>
      <c r="D784" s="6" t="s">
        <v>830</v>
      </c>
      <c r="E784" s="4" t="s">
        <v>99</v>
      </c>
      <c r="F784" s="9" t="s">
        <v>104</v>
      </c>
      <c r="G784" s="4">
        <v>781</v>
      </c>
      <c r="H784" s="4">
        <v>10</v>
      </c>
      <c r="I784" s="4" t="s">
        <v>934</v>
      </c>
      <c r="J784" s="4" t="str">
        <f t="shared" si="24"/>
        <v>8103010000</v>
      </c>
      <c r="K784" s="1" t="s">
        <v>12</v>
      </c>
      <c r="L784" s="4" t="s">
        <v>856</v>
      </c>
      <c r="M784" s="8" t="s">
        <v>929</v>
      </c>
      <c r="N784" s="4" t="str">
        <f t="shared" si="25"/>
        <v>('1780','RPT_009', 'LabaTrialBalance3rdSegment', '8103010000 -  Bagian rugi (penghasilan) komprehensif lain dari investasi pada entitas asosiasi dan ventura bersama, setelah dampak pajak', 'Other Comprehensive Income (OCI)', 'OCI: Pos yang tidak akan direklasifikasi ke Laba Rugi', '781', '10', 'AND ma.main_account_id IN (8103010000)', 'I', 'Bagian rugi (penghasilan) komprehensif lain dari investasi pada entitas asosiasi dan ventura bersama, setelah dampak pajak', 0, 0),</v>
      </c>
    </row>
    <row r="785" spans="1:14" ht="93.6" x14ac:dyDescent="0.3">
      <c r="A785" s="4">
        <v>1781</v>
      </c>
      <c r="B785" s="4" t="s">
        <v>177</v>
      </c>
      <c r="C785" s="4" t="s">
        <v>178</v>
      </c>
      <c r="D785" s="7" t="s">
        <v>831</v>
      </c>
      <c r="E785" s="4" t="s">
        <v>99</v>
      </c>
      <c r="F785" s="9" t="s">
        <v>104</v>
      </c>
      <c r="G785" s="4">
        <v>782</v>
      </c>
      <c r="H785" s="4">
        <v>11</v>
      </c>
      <c r="I785" s="4" t="s">
        <v>934</v>
      </c>
      <c r="J785" s="4" t="str">
        <f t="shared" si="24"/>
        <v>8103010001</v>
      </c>
      <c r="K785" s="1" t="s">
        <v>12</v>
      </c>
      <c r="L785" s="4" t="s">
        <v>856</v>
      </c>
      <c r="M785" s="8" t="s">
        <v>929</v>
      </c>
      <c r="N785" s="4" t="str">
        <f t="shared" si="25"/>
        <v>('1781','RPT_009', 'LabaTrialBalance3rdSegment', '8103010001 - Bagian rugi (penghasilan) komprehensif lain dari investasi pada entitas asosiasi dan ventura bersama, setelah dampak pajak', 'Other Comprehensive Income (OCI)', 'OCI: Pos yang tidak akan direklasifikasi ke Laba Rugi', '782', '11', 'AND ma.main_account_id IN (8103010001)', 'I', 'Bagian rugi (penghasilan) komprehensif lain dari investasi pada entitas asosiasi dan ventura bersama, setelah dampak pajak', 0, 0),</v>
      </c>
    </row>
    <row r="786" spans="1:14" ht="27" x14ac:dyDescent="0.3">
      <c r="A786" s="4">
        <v>1782</v>
      </c>
      <c r="B786" s="4" t="s">
        <v>177</v>
      </c>
      <c r="C786" s="4" t="s">
        <v>178</v>
      </c>
      <c r="D786" s="3" t="s">
        <v>105</v>
      </c>
      <c r="E786" s="4" t="s">
        <v>99</v>
      </c>
      <c r="F786" s="9" t="s">
        <v>110</v>
      </c>
      <c r="G786" s="4">
        <v>783</v>
      </c>
      <c r="H786" s="4">
        <v>12</v>
      </c>
      <c r="I786" s="4" t="s">
        <v>934</v>
      </c>
      <c r="J786" s="4" t="str">
        <f t="shared" si="24"/>
        <v>8200000000</v>
      </c>
      <c r="K786" s="1" t="s">
        <v>12</v>
      </c>
      <c r="L786" s="4" t="s">
        <v>856</v>
      </c>
      <c r="M786" s="10" t="s">
        <v>110</v>
      </c>
      <c r="N786" s="4" t="str">
        <f t="shared" si="25"/>
        <v>('1782','RPT_009', 'LabaTrialBalance3rdSegment', '8200000000 - OCI: Pos yang akan direklasifikasi ke Laba Rugi', 'Other Comprehensive Income (OCI)', 'OCI: Pos yang akan direklasifikasi ke Laba Rugi', '783', '12', 'AND ma.main_account_id IN (8200000000)', 'I', 'OCI: Pos yang akan direklasifikasi ke Laba Rugi', 0, 0),</v>
      </c>
    </row>
    <row r="787" spans="1:14" ht="78" x14ac:dyDescent="0.3">
      <c r="A787" s="4">
        <v>1783</v>
      </c>
      <c r="B787" s="4" t="s">
        <v>177</v>
      </c>
      <c r="C787" s="4" t="s">
        <v>178</v>
      </c>
      <c r="D787" s="5" t="s">
        <v>106</v>
      </c>
      <c r="E787" s="4" t="s">
        <v>99</v>
      </c>
      <c r="F787" s="9" t="s">
        <v>110</v>
      </c>
      <c r="G787" s="4">
        <v>784</v>
      </c>
      <c r="H787" s="4">
        <v>13</v>
      </c>
      <c r="I787" s="4" t="s">
        <v>934</v>
      </c>
      <c r="J787" s="4" t="str">
        <f t="shared" si="24"/>
        <v>8201000000</v>
      </c>
      <c r="K787" s="1" t="s">
        <v>12</v>
      </c>
      <c r="L787" s="4" t="s">
        <v>856</v>
      </c>
      <c r="M787" s="8" t="s">
        <v>928</v>
      </c>
      <c r="N787" s="4" t="str">
        <f t="shared" si="25"/>
        <v>('1783','RPT_009', 'LabaTrialBalance3rdSegment', '8201000000 -  Perubahan nilai wajar aset keuangan pada nilai wajar melalui penghasilan komprehensif lain, setelah dampak pajak', 'Other Comprehensive Income (OCI)', 'OCI: Pos yang akan direklasifikasi ke Laba Rugi', '784', '13', 'AND ma.main_account_id IN (8201000000)', 'I', 'Perubahan nilai wajar aset keuangan pada nilai wajar melalui penghasilan komprehensif lain, setelah dampak pajak', 0, 0),</v>
      </c>
    </row>
    <row r="788" spans="1:14" ht="78" x14ac:dyDescent="0.3">
      <c r="A788" s="4">
        <v>1784</v>
      </c>
      <c r="B788" s="4" t="s">
        <v>177</v>
      </c>
      <c r="C788" s="4" t="s">
        <v>178</v>
      </c>
      <c r="D788" s="6" t="s">
        <v>832</v>
      </c>
      <c r="E788" s="4" t="s">
        <v>99</v>
      </c>
      <c r="F788" s="9" t="s">
        <v>110</v>
      </c>
      <c r="G788" s="4">
        <v>785</v>
      </c>
      <c r="H788" s="4">
        <v>14</v>
      </c>
      <c r="I788" s="4" t="s">
        <v>934</v>
      </c>
      <c r="J788" s="4" t="str">
        <f t="shared" si="24"/>
        <v>8201010000</v>
      </c>
      <c r="K788" s="1" t="s">
        <v>12</v>
      </c>
      <c r="L788" s="4" t="s">
        <v>856</v>
      </c>
      <c r="M788" s="8" t="s">
        <v>928</v>
      </c>
      <c r="N788" s="4" t="str">
        <f t="shared" si="25"/>
        <v>('1784','RPT_009', 'LabaTrialBalance3rdSegment', '8201010000 -  Perubahan nilai wajar aset keuangan pada nilai wajar melalui penghasilan komprehensif lain, setelah dampak pajak', 'Other Comprehensive Income (OCI)', 'OCI: Pos yang akan direklasifikasi ke Laba Rugi', '785', '14', 'AND ma.main_account_id IN (8201010000)', 'I', 'Perubahan nilai wajar aset keuangan pada nilai wajar melalui penghasilan komprehensif lain, setelah dampak pajak', 0, 0),</v>
      </c>
    </row>
    <row r="789" spans="1:14" ht="78" x14ac:dyDescent="0.3">
      <c r="A789" s="4">
        <v>1785</v>
      </c>
      <c r="B789" s="4" t="s">
        <v>177</v>
      </c>
      <c r="C789" s="4" t="s">
        <v>178</v>
      </c>
      <c r="D789" s="7" t="s">
        <v>833</v>
      </c>
      <c r="E789" s="4" t="s">
        <v>99</v>
      </c>
      <c r="F789" s="9" t="s">
        <v>110</v>
      </c>
      <c r="G789" s="4">
        <v>786</v>
      </c>
      <c r="H789" s="4">
        <v>15</v>
      </c>
      <c r="I789" s="4" t="s">
        <v>934</v>
      </c>
      <c r="J789" s="4" t="str">
        <f t="shared" si="24"/>
        <v>8201010001</v>
      </c>
      <c r="K789" s="1" t="s">
        <v>12</v>
      </c>
      <c r="L789" s="4" t="s">
        <v>856</v>
      </c>
      <c r="M789" s="8" t="s">
        <v>928</v>
      </c>
      <c r="N789" s="4" t="str">
        <f t="shared" si="25"/>
        <v>('1785','RPT_009', 'LabaTrialBalance3rdSegment', '8201010001 - Perubahan nilai wajar aset keuangan pada nilai wajar melalui penghasilan komprehensif lain, setelah dampak pajak', 'Other Comprehensive Income (OCI)', 'OCI: Pos yang akan direklasifikasi ke Laba Rugi', '786', '15', 'AND ma.main_account_id IN (8201010001)', 'I', 'Perubahan nilai wajar aset keuangan pada nilai wajar melalui penghasilan komprehensif lain, setelah dampak pajak', 0, 0),</v>
      </c>
    </row>
    <row r="790" spans="1:14" ht="46.8" x14ac:dyDescent="0.3">
      <c r="A790" s="4">
        <v>1786</v>
      </c>
      <c r="B790" s="4" t="s">
        <v>177</v>
      </c>
      <c r="C790" s="4" t="s">
        <v>178</v>
      </c>
      <c r="D790" s="5" t="s">
        <v>107</v>
      </c>
      <c r="E790" s="4" t="s">
        <v>99</v>
      </c>
      <c r="F790" s="9" t="s">
        <v>110</v>
      </c>
      <c r="G790" s="4">
        <v>787</v>
      </c>
      <c r="H790" s="4">
        <v>16</v>
      </c>
      <c r="I790" s="4" t="s">
        <v>934</v>
      </c>
      <c r="J790" s="4" t="str">
        <f t="shared" si="24"/>
        <v>8202000000</v>
      </c>
      <c r="K790" s="1" t="s">
        <v>12</v>
      </c>
      <c r="L790" s="4" t="s">
        <v>856</v>
      </c>
      <c r="M790" s="8" t="s">
        <v>930</v>
      </c>
      <c r="N790" s="4" t="str">
        <f t="shared" si="25"/>
        <v>('1786','RPT_009', 'LabaTrialBalance3rdSegment', '8202000000 -  Perubahan nilai wajar pada lindung nilai arus kas, setelah dampak pajak', 'Other Comprehensive Income (OCI)', 'OCI: Pos yang akan direklasifikasi ke Laba Rugi', '787', '16', 'AND ma.main_account_id IN (8202000000)', 'I', 'Perubahan nilai wajar pada lindung nilai arus kas, setelah dampak pajak', 0, 0),</v>
      </c>
    </row>
    <row r="791" spans="1:14" ht="46.8" x14ac:dyDescent="0.3">
      <c r="A791" s="4">
        <v>1787</v>
      </c>
      <c r="B791" s="4" t="s">
        <v>177</v>
      </c>
      <c r="C791" s="4" t="s">
        <v>178</v>
      </c>
      <c r="D791" s="6" t="s">
        <v>834</v>
      </c>
      <c r="E791" s="4" t="s">
        <v>99</v>
      </c>
      <c r="F791" s="9" t="s">
        <v>110</v>
      </c>
      <c r="G791" s="4">
        <v>788</v>
      </c>
      <c r="H791" s="4">
        <v>17</v>
      </c>
      <c r="I791" s="4" t="s">
        <v>934</v>
      </c>
      <c r="J791" s="4" t="str">
        <f t="shared" si="24"/>
        <v>8202010000</v>
      </c>
      <c r="K791" s="1" t="s">
        <v>12</v>
      </c>
      <c r="L791" s="4" t="s">
        <v>856</v>
      </c>
      <c r="M791" s="8" t="s">
        <v>930</v>
      </c>
      <c r="N791" s="4" t="str">
        <f t="shared" si="25"/>
        <v>('1787','RPT_009', 'LabaTrialBalance3rdSegment', '8202010000 -  Perubahan nilai wajar pada lindung nilai arus kas, setelah dampak pajak', 'Other Comprehensive Income (OCI)', 'OCI: Pos yang akan direklasifikasi ke Laba Rugi', '788', '17', 'AND ma.main_account_id IN (8202010000)', 'I', 'Perubahan nilai wajar pada lindung nilai arus kas, setelah dampak pajak', 0, 0),</v>
      </c>
    </row>
    <row r="792" spans="1:14" ht="46.8" x14ac:dyDescent="0.3">
      <c r="A792" s="4">
        <v>1788</v>
      </c>
      <c r="B792" s="4" t="s">
        <v>177</v>
      </c>
      <c r="C792" s="4" t="s">
        <v>178</v>
      </c>
      <c r="D792" s="7" t="s">
        <v>835</v>
      </c>
      <c r="E792" s="4" t="s">
        <v>99</v>
      </c>
      <c r="F792" s="9" t="s">
        <v>110</v>
      </c>
      <c r="G792" s="4">
        <v>789</v>
      </c>
      <c r="H792" s="4">
        <v>18</v>
      </c>
      <c r="I792" s="4" t="s">
        <v>934</v>
      </c>
      <c r="J792" s="4" t="str">
        <f t="shared" si="24"/>
        <v>8202010001</v>
      </c>
      <c r="K792" s="1" t="s">
        <v>12</v>
      </c>
      <c r="L792" s="4" t="s">
        <v>856</v>
      </c>
      <c r="M792" s="8" t="s">
        <v>930</v>
      </c>
      <c r="N792" s="4" t="str">
        <f t="shared" si="25"/>
        <v>('1788','RPT_009', 'LabaTrialBalance3rdSegment', '8202010001 - Perubahan nilai wajar pada lindung nilai arus kas, setelah dampak pajak', 'Other Comprehensive Income (OCI)', 'OCI: Pos yang akan direklasifikasi ke Laba Rugi', '789', '18', 'AND ma.main_account_id IN (8202010001)', 'I', 'Perubahan nilai wajar pada lindung nilai arus kas, setelah dampak pajak', 0, 0),</v>
      </c>
    </row>
    <row r="793" spans="1:14" ht="93.6" x14ac:dyDescent="0.3">
      <c r="A793" s="4">
        <v>1789</v>
      </c>
      <c r="B793" s="4" t="s">
        <v>177</v>
      </c>
      <c r="C793" s="4" t="s">
        <v>178</v>
      </c>
      <c r="D793" s="5" t="s">
        <v>108</v>
      </c>
      <c r="E793" s="4" t="s">
        <v>99</v>
      </c>
      <c r="F793" s="9" t="s">
        <v>110</v>
      </c>
      <c r="G793" s="4">
        <v>790</v>
      </c>
      <c r="H793" s="4">
        <v>19</v>
      </c>
      <c r="I793" s="4" t="s">
        <v>934</v>
      </c>
      <c r="J793" s="4" t="str">
        <f t="shared" si="24"/>
        <v>8203000000</v>
      </c>
      <c r="K793" s="1" t="s">
        <v>12</v>
      </c>
      <c r="L793" s="4" t="s">
        <v>856</v>
      </c>
      <c r="M793" s="8" t="s">
        <v>929</v>
      </c>
      <c r="N793" s="4" t="str">
        <f t="shared" si="25"/>
        <v>('1789','RPT_009', 'LabaTrialBalance3rdSegment', '8203000000 -  Bagian rugi (penghasilan) komprehensif lain dari investasi pada entitas asosiasi dan ventura bersama, setelah dampak pajak', 'Other Comprehensive Income (OCI)', 'OCI: Pos yang akan direklasifikasi ke Laba Rugi', '790', '19', 'AND ma.main_account_id IN (8203000000)', 'I', 'Bagian rugi (penghasilan) komprehensif lain dari investasi pada entitas asosiasi dan ventura bersama, setelah dampak pajak', 0, 0),</v>
      </c>
    </row>
    <row r="794" spans="1:14" ht="93.6" x14ac:dyDescent="0.3">
      <c r="A794" s="4">
        <v>1790</v>
      </c>
      <c r="B794" s="4" t="s">
        <v>177</v>
      </c>
      <c r="C794" s="4" t="s">
        <v>178</v>
      </c>
      <c r="D794" s="6" t="s">
        <v>836</v>
      </c>
      <c r="E794" s="4" t="s">
        <v>99</v>
      </c>
      <c r="F794" s="9" t="s">
        <v>110</v>
      </c>
      <c r="G794" s="4">
        <v>791</v>
      </c>
      <c r="H794" s="4">
        <v>20</v>
      </c>
      <c r="I794" s="4" t="s">
        <v>934</v>
      </c>
      <c r="J794" s="4" t="str">
        <f t="shared" si="24"/>
        <v>8203010000</v>
      </c>
      <c r="K794" s="1" t="s">
        <v>12</v>
      </c>
      <c r="L794" s="4" t="s">
        <v>856</v>
      </c>
      <c r="M794" s="8" t="s">
        <v>929</v>
      </c>
      <c r="N794" s="4" t="str">
        <f t="shared" si="25"/>
        <v>('1790','RPT_009', 'LabaTrialBalance3rdSegment', '8203010000 -  Bagian rugi (penghasilan) komprehensif lain dari investasi pada entitas asosiasi dan ventura bersama, setelah dampak pajak', 'Other Comprehensive Income (OCI)', 'OCI: Pos yang akan direklasifikasi ke Laba Rugi', '791', '20', 'AND ma.main_account_id IN (8203010000)', 'I', 'Bagian rugi (penghasilan) komprehensif lain dari investasi pada entitas asosiasi dan ventura bersama, setelah dampak pajak', 0, 0),</v>
      </c>
    </row>
    <row r="795" spans="1:14" ht="93.6" x14ac:dyDescent="0.3">
      <c r="A795" s="4">
        <v>1791</v>
      </c>
      <c r="B795" s="4" t="s">
        <v>177</v>
      </c>
      <c r="C795" s="4" t="s">
        <v>178</v>
      </c>
      <c r="D795" s="7" t="s">
        <v>837</v>
      </c>
      <c r="E795" s="4" t="s">
        <v>99</v>
      </c>
      <c r="F795" s="9" t="s">
        <v>110</v>
      </c>
      <c r="G795" s="4">
        <v>792</v>
      </c>
      <c r="H795" s="4">
        <v>21</v>
      </c>
      <c r="I795" s="4" t="s">
        <v>934</v>
      </c>
      <c r="J795" s="4" t="str">
        <f t="shared" si="24"/>
        <v>8203010001</v>
      </c>
      <c r="K795" s="1" t="s">
        <v>12</v>
      </c>
      <c r="L795" s="4" t="s">
        <v>856</v>
      </c>
      <c r="M795" s="8" t="s">
        <v>929</v>
      </c>
      <c r="N795" s="4" t="str">
        <f t="shared" si="25"/>
        <v>('1791','RPT_009', 'LabaTrialBalance3rdSegment', '8203010001 - Bagian rugi (penghasilan) komprehensif lain dari investasi pada entitas asosiasi dan ventura bersama, setelah dampak pajak', 'Other Comprehensive Income (OCI)', 'OCI: Pos yang akan direklasifikasi ke Laba Rugi', '792', '21', 'AND ma.main_account_id IN (8203010001)', 'I', 'Bagian rugi (penghasilan) komprehensif lain dari investasi pada entitas asosiasi dan ventura bersama, setelah dampak pajak', 0, 0),</v>
      </c>
    </row>
    <row r="796" spans="1:14" ht="46.8" x14ac:dyDescent="0.3">
      <c r="A796" s="4">
        <v>1792</v>
      </c>
      <c r="B796" s="4" t="s">
        <v>177</v>
      </c>
      <c r="C796" s="4" t="s">
        <v>178</v>
      </c>
      <c r="D796" s="5" t="s">
        <v>109</v>
      </c>
      <c r="E796" s="4" t="s">
        <v>99</v>
      </c>
      <c r="F796" s="9" t="s">
        <v>110</v>
      </c>
      <c r="G796" s="4">
        <v>793</v>
      </c>
      <c r="H796" s="4">
        <v>22</v>
      </c>
      <c r="I796" s="4" t="s">
        <v>934</v>
      </c>
      <c r="J796" s="4" t="str">
        <f t="shared" si="24"/>
        <v>8204000000</v>
      </c>
      <c r="K796" s="1" t="s">
        <v>12</v>
      </c>
      <c r="L796" s="4" t="s">
        <v>856</v>
      </c>
      <c r="M796" s="8" t="s">
        <v>931</v>
      </c>
      <c r="N796" s="4" t="str">
        <f t="shared" si="25"/>
        <v>('1792','RPT_009', 'LabaTrialBalance3rdSegment', '8204000000 -  Selisih kurs penjabaran laporan keuangan, setelah dampak pajak', 'Other Comprehensive Income (OCI)', 'OCI: Pos yang akan direklasifikasi ke Laba Rugi', '793', '22', 'AND ma.main_account_id IN (8204000000)', 'I', 'Selisih kurs penjabaran laporan keuangan, setelah dampak pajak', 0, 0),</v>
      </c>
    </row>
    <row r="797" spans="1:14" ht="46.8" x14ac:dyDescent="0.3">
      <c r="A797" s="4">
        <v>1793</v>
      </c>
      <c r="B797" s="4" t="s">
        <v>177</v>
      </c>
      <c r="C797" s="4" t="s">
        <v>178</v>
      </c>
      <c r="D797" s="6" t="s">
        <v>838</v>
      </c>
      <c r="E797" s="4" t="s">
        <v>99</v>
      </c>
      <c r="F797" s="9" t="s">
        <v>110</v>
      </c>
      <c r="G797" s="4">
        <v>794</v>
      </c>
      <c r="H797" s="4">
        <v>23</v>
      </c>
      <c r="I797" s="4" t="s">
        <v>934</v>
      </c>
      <c r="J797" s="4" t="str">
        <f t="shared" si="24"/>
        <v>8204010000</v>
      </c>
      <c r="K797" s="1" t="s">
        <v>12</v>
      </c>
      <c r="L797" s="4" t="s">
        <v>856</v>
      </c>
      <c r="M797" s="8" t="s">
        <v>931</v>
      </c>
      <c r="N797" s="4" t="str">
        <f t="shared" si="25"/>
        <v>('1793','RPT_009', 'LabaTrialBalance3rdSegment', '8204010000 -  Selisih kurs penjabaran laporan keuangan, setelah dampak pajak', 'Other Comprehensive Income (OCI)', 'OCI: Pos yang akan direklasifikasi ke Laba Rugi', '794', '23', 'AND ma.main_account_id IN (8204010000)', 'I', 'Selisih kurs penjabaran laporan keuangan, setelah dampak pajak', 0, 0),</v>
      </c>
    </row>
    <row r="798" spans="1:14" ht="46.8" x14ac:dyDescent="0.3">
      <c r="A798" s="4">
        <v>1794</v>
      </c>
      <c r="B798" s="4" t="s">
        <v>177</v>
      </c>
      <c r="C798" s="4" t="s">
        <v>178</v>
      </c>
      <c r="D798" s="7" t="s">
        <v>839</v>
      </c>
      <c r="E798" s="4" t="s">
        <v>99</v>
      </c>
      <c r="F798" s="9" t="s">
        <v>110</v>
      </c>
      <c r="G798" s="4">
        <v>795</v>
      </c>
      <c r="H798" s="4">
        <v>24</v>
      </c>
      <c r="I798" s="4" t="s">
        <v>934</v>
      </c>
      <c r="J798" s="4" t="str">
        <f t="shared" si="24"/>
        <v>8204010001</v>
      </c>
      <c r="K798" s="1" t="s">
        <v>12</v>
      </c>
      <c r="L798" s="4" t="s">
        <v>856</v>
      </c>
      <c r="M798" s="8" t="s">
        <v>931</v>
      </c>
      <c r="N798" s="4" t="str">
        <f t="shared" si="25"/>
        <v>('1794','RPT_009', 'LabaTrialBalance3rdSegment', '8204010001 - Selisih kurs penjabaran laporan keuangan, setelah dampak pajak', 'Other Comprehensive Income (OCI)', 'OCI: Pos yang akan direklasifikasi ke Laba Rugi', '795', '24', 'AND ma.main_account_id IN (8204010001)', 'I', 'Selisih kurs penjabaran laporan keuangan, setelah dampak pajak', 0, 0),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rpt_captions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PAMAKO RENDA</cp:lastModifiedBy>
  <dcterms:created xsi:type="dcterms:W3CDTF">2025-11-04T07:36:42Z</dcterms:created>
  <dcterms:modified xsi:type="dcterms:W3CDTF">2025-11-05T14:06:57Z</dcterms:modified>
</cp:coreProperties>
</file>